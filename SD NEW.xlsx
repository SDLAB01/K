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SEMESTERS\4-1\SD-LAB\"/>
    </mc:Choice>
  </mc:AlternateContent>
  <xr:revisionPtr revIDLastSave="0" documentId="13_ncr:1_{DC4786D6-D319-4292-BA5D-E108B82677F3}" xr6:coauthVersionLast="47" xr6:coauthVersionMax="47" xr10:uidLastSave="{00000000-0000-0000-0000-000000000000}"/>
  <bookViews>
    <workbookView xWindow="-110" yWindow="-110" windowWidth="25820" windowHeight="15500" firstSheet="2" activeTab="9" xr2:uid="{AF53E1CC-ED66-4923-805A-90E7FBA7C66D}"/>
  </bookViews>
  <sheets>
    <sheet name="iso foot" sheetId="1" r:id="rId1"/>
    <sheet name="singli r b" sheetId="2" r:id="rId2"/>
    <sheet name="double rb" sheetId="3" r:id="rId3"/>
    <sheet name="1 way slab" sheetId="4" r:id="rId4"/>
    <sheet name="2wayslab" sheetId="5" r:id="rId5"/>
    <sheet name="stair case " sheetId="6" r:id="rId6"/>
    <sheet name="retaining wall " sheetId="7" r:id="rId7"/>
    <sheet name="combined footing" sheetId="8" r:id="rId8"/>
    <sheet name="bolt typ 1 " sheetId="9" r:id="rId9"/>
    <sheet name="bolt type 2 " sheetId="10" r:id="rId10"/>
    <sheet name="pile"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6" i="1" l="1"/>
  <c r="B30" i="11"/>
  <c r="B28" i="11"/>
  <c r="B24" i="11"/>
  <c r="F22" i="11"/>
  <c r="B20" i="11"/>
  <c r="B23" i="11" s="1"/>
  <c r="B25" i="11" s="1"/>
  <c r="F17" i="11"/>
  <c r="F18" i="11" s="1"/>
  <c r="F19" i="11" s="1"/>
  <c r="F16" i="11"/>
  <c r="F14" i="11"/>
  <c r="F13" i="11"/>
  <c r="B11" i="11"/>
  <c r="F7" i="11"/>
  <c r="F8" i="11" s="1"/>
  <c r="F5" i="11"/>
  <c r="F6" i="11" s="1"/>
  <c r="B5" i="11"/>
  <c r="A27" i="11" s="1"/>
  <c r="F3" i="11"/>
  <c r="B17" i="11" l="1"/>
  <c r="A18" i="11" s="1"/>
  <c r="F9" i="11"/>
  <c r="F10" i="11" s="1"/>
  <c r="F23" i="11"/>
  <c r="F24" i="11" s="1"/>
  <c r="F25" i="11" s="1"/>
  <c r="B29" i="11"/>
  <c r="B31" i="11" s="1"/>
  <c r="B32" i="11" s="1"/>
  <c r="B31" i="10"/>
  <c r="B29" i="10"/>
  <c r="F2" i="10" s="1"/>
  <c r="F28" i="10"/>
  <c r="B28" i="10"/>
  <c r="F27" i="10"/>
  <c r="B27" i="10"/>
  <c r="F26" i="10"/>
  <c r="B24" i="10"/>
  <c r="B25" i="10" s="1"/>
  <c r="F19" i="10"/>
  <c r="B19" i="10"/>
  <c r="B17" i="10"/>
  <c r="F10" i="10"/>
  <c r="J9" i="10"/>
  <c r="F9" i="10"/>
  <c r="F11" i="10" s="1"/>
  <c r="L4" i="10"/>
  <c r="F4" i="10"/>
  <c r="F14" i="10" l="1"/>
  <c r="F12" i="10"/>
  <c r="F15" i="10" s="1"/>
  <c r="F16" i="10" s="1"/>
  <c r="F29" i="10"/>
  <c r="F6" i="10"/>
  <c r="F20" i="10"/>
  <c r="F13" i="10"/>
  <c r="F17" i="10" l="1"/>
  <c r="F22" i="10"/>
  <c r="F23" i="10" s="1"/>
  <c r="F29" i="9" l="1"/>
  <c r="F28" i="9"/>
  <c r="B28" i="9"/>
  <c r="B29" i="9" s="1"/>
  <c r="F27" i="9"/>
  <c r="B27" i="9"/>
  <c r="B24" i="9"/>
  <c r="B25" i="9" s="1"/>
  <c r="F21" i="9"/>
  <c r="B19" i="9"/>
  <c r="B17" i="9"/>
  <c r="N15" i="9"/>
  <c r="P12" i="9"/>
  <c r="F11" i="9"/>
  <c r="F10" i="9"/>
  <c r="F12" i="9" s="1"/>
  <c r="F4" i="9"/>
  <c r="F2" i="9" l="1"/>
  <c r="F14" i="9"/>
  <c r="F13" i="9"/>
  <c r="F16" i="9" l="1"/>
  <c r="F30" i="9"/>
  <c r="F6" i="9"/>
  <c r="F18" i="9" l="1"/>
  <c r="F19" i="9"/>
  <c r="F22" i="9" s="1"/>
  <c r="F23" i="9" l="1"/>
  <c r="F24" i="9" s="1"/>
  <c r="B26" i="8" l="1"/>
  <c r="B27" i="8" s="1"/>
  <c r="B24" i="8"/>
  <c r="B23" i="8"/>
  <c r="B19" i="8"/>
  <c r="B29" i="8" s="1"/>
  <c r="J17" i="8"/>
  <c r="J13" i="8"/>
  <c r="J8" i="8"/>
  <c r="F7" i="8"/>
  <c r="F6" i="8"/>
  <c r="F4" i="8"/>
  <c r="F8" i="8" s="1"/>
  <c r="F2" i="8"/>
  <c r="F3" i="8" s="1"/>
  <c r="F12" i="8" l="1"/>
  <c r="H23" i="8" s="1"/>
  <c r="F11" i="8"/>
  <c r="F13" i="8" l="1"/>
  <c r="H22" i="8"/>
  <c r="F24" i="8" s="1"/>
  <c r="F18" i="8" l="1"/>
  <c r="F19" i="8" s="1"/>
  <c r="F20" i="8" s="1"/>
  <c r="F21" i="8" s="1"/>
  <c r="H18" i="8"/>
  <c r="H24" i="8"/>
  <c r="F28" i="8" l="1"/>
  <c r="J3" i="8"/>
  <c r="L4" i="8"/>
  <c r="J4" i="8"/>
  <c r="J11" i="8" s="1"/>
  <c r="J12" i="8" s="1"/>
  <c r="J14" i="8" s="1"/>
  <c r="L3" i="8"/>
  <c r="F25" i="8"/>
  <c r="F26" i="8" s="1"/>
  <c r="H28" i="8" l="1"/>
  <c r="J6" i="8"/>
  <c r="J7" i="8" s="1"/>
  <c r="J9" i="8" s="1"/>
  <c r="C56" i="7" l="1"/>
  <c r="B56" i="7"/>
  <c r="D56" i="7" s="1"/>
  <c r="C55" i="7"/>
  <c r="B55" i="7"/>
  <c r="D55" i="7" s="1"/>
  <c r="C54" i="7"/>
  <c r="C53" i="7"/>
  <c r="B53" i="7"/>
  <c r="D53" i="7" s="1"/>
  <c r="C52" i="7"/>
  <c r="I51" i="7"/>
  <c r="I52" i="7" s="1"/>
  <c r="W47" i="7"/>
  <c r="X44" i="7"/>
  <c r="U44" i="7"/>
  <c r="I44" i="7"/>
  <c r="B44" i="7"/>
  <c r="S42" i="7"/>
  <c r="B39" i="7"/>
  <c r="B40" i="7" s="1"/>
  <c r="X39" i="7" s="1"/>
  <c r="C37" i="7"/>
  <c r="B37" i="7"/>
  <c r="T36" i="7"/>
  <c r="B32" i="7"/>
  <c r="I23" i="7" s="1"/>
  <c r="V29" i="7"/>
  <c r="I14" i="7"/>
  <c r="I15" i="7" s="1"/>
  <c r="H16" i="7" s="1"/>
  <c r="H35" i="7" s="1"/>
  <c r="D8" i="7"/>
  <c r="B25" i="7" s="1"/>
  <c r="I6" i="7"/>
  <c r="D6" i="7"/>
  <c r="I5" i="7"/>
  <c r="I22" i="7" s="1"/>
  <c r="R4" i="7"/>
  <c r="AA36" i="7" l="1"/>
  <c r="B52" i="7"/>
  <c r="D52" i="7" s="1"/>
  <c r="D57" i="7" s="1"/>
  <c r="B54" i="7"/>
  <c r="D54" i="7" s="1"/>
  <c r="I43" i="7"/>
  <c r="I24" i="7"/>
  <c r="I45" i="7"/>
  <c r="I46" i="7" s="1"/>
  <c r="I47" i="7" s="1"/>
  <c r="I48" i="7" s="1"/>
  <c r="H49" i="7" s="1"/>
  <c r="B38" i="7"/>
  <c r="B45" i="7"/>
  <c r="B26" i="7"/>
  <c r="B76" i="7" s="1"/>
  <c r="U39" i="7"/>
  <c r="B47" i="7" l="1"/>
  <c r="B57" i="7" s="1"/>
  <c r="B46" i="7"/>
  <c r="B49" i="7" s="1"/>
  <c r="B66" i="7" l="1"/>
  <c r="D66" i="7" s="1"/>
  <c r="B77" i="7"/>
  <c r="A78" i="7" s="1"/>
  <c r="B68" i="7"/>
  <c r="I27" i="7" s="1"/>
  <c r="B72" i="7"/>
  <c r="C72" i="7" s="1"/>
  <c r="B59" i="7"/>
  <c r="B60" i="7" s="1"/>
  <c r="B61" i="7" s="1"/>
  <c r="A62" i="7" s="1"/>
  <c r="B67" i="7" l="1"/>
  <c r="I7" i="7"/>
  <c r="D67" i="7"/>
  <c r="I25" i="7"/>
  <c r="I26" i="7" s="1"/>
  <c r="I29" i="7" s="1"/>
  <c r="I31" i="7" s="1"/>
  <c r="I32" i="7" s="1"/>
  <c r="I33" i="7" s="1"/>
  <c r="H34" i="7" s="1"/>
  <c r="I8" i="7"/>
  <c r="I28" i="7"/>
  <c r="I9" i="7" l="1"/>
  <c r="I10" i="7"/>
  <c r="I11" i="7" s="1"/>
  <c r="I12" i="7" s="1"/>
  <c r="H13" i="7" s="1"/>
  <c r="K34" i="6" l="1"/>
  <c r="F33" i="6"/>
  <c r="K31" i="6"/>
  <c r="B31" i="6"/>
  <c r="K30" i="6"/>
  <c r="B29" i="6"/>
  <c r="B28" i="6"/>
  <c r="B32" i="6" s="1"/>
  <c r="B33" i="6" s="1"/>
  <c r="F10" i="6" s="1"/>
  <c r="K25" i="6"/>
  <c r="K26" i="6" s="1"/>
  <c r="B25" i="6"/>
  <c r="L22" i="6"/>
  <c r="K21" i="6"/>
  <c r="N22" i="6" s="1"/>
  <c r="K35" i="6" s="1"/>
  <c r="F21" i="6"/>
  <c r="K19" i="6"/>
  <c r="K20" i="6" s="1"/>
  <c r="F19" i="6"/>
  <c r="B19" i="6"/>
  <c r="B20" i="6" s="1"/>
  <c r="B21" i="6" s="1"/>
  <c r="F4" i="6" s="1"/>
  <c r="K17" i="6"/>
  <c r="K29" i="6" l="1"/>
  <c r="E34" i="6"/>
  <c r="F11" i="6"/>
  <c r="F17" i="6" s="1"/>
  <c r="F18" i="6" s="1"/>
  <c r="F20" i="6"/>
  <c r="H21" i="6" s="1"/>
  <c r="F25" i="6"/>
  <c r="K32" i="6" l="1"/>
  <c r="F28" i="6"/>
  <c r="K33" i="6"/>
  <c r="F24" i="6"/>
  <c r="F27" i="6"/>
  <c r="J29" i="5" l="1"/>
  <c r="B19" i="5"/>
  <c r="J20" i="5" s="1"/>
  <c r="F17" i="5"/>
  <c r="F16" i="5"/>
  <c r="N14" i="5"/>
  <c r="B14" i="5"/>
  <c r="B16" i="5" s="1"/>
  <c r="J13" i="5"/>
  <c r="F11" i="5"/>
  <c r="F7" i="5"/>
  <c r="B15" i="5" l="1"/>
  <c r="B20" i="5"/>
  <c r="F6" i="5" l="1"/>
  <c r="B21" i="5"/>
  <c r="J11" i="5"/>
  <c r="F10" i="5"/>
  <c r="F12" i="5" s="1"/>
  <c r="J27" i="5"/>
  <c r="J30" i="5" l="1"/>
  <c r="J31" i="5" s="1"/>
  <c r="J32" i="5" s="1"/>
  <c r="J35" i="5"/>
  <c r="J37" i="5" s="1"/>
  <c r="J38" i="5" s="1"/>
  <c r="N22" i="5" s="1"/>
  <c r="N20" i="5"/>
  <c r="F15" i="5"/>
  <c r="F18" i="5" s="1"/>
  <c r="F19" i="5" s="1"/>
  <c r="N15" i="5"/>
  <c r="N16" i="5" s="1"/>
  <c r="F8" i="5"/>
  <c r="F21" i="5" l="1"/>
  <c r="N5" i="5" s="1"/>
  <c r="N8" i="5" s="1"/>
  <c r="F20" i="5"/>
  <c r="J5" i="5" l="1"/>
  <c r="J6" i="5" s="1"/>
  <c r="J10" i="5"/>
  <c r="J12" i="5" s="1"/>
  <c r="J14" i="5" l="1"/>
  <c r="J15" i="5" s="1"/>
  <c r="J16" i="5" s="1"/>
  <c r="N12" i="5"/>
  <c r="J19" i="5"/>
  <c r="J22" i="5" s="1"/>
  <c r="J23" i="5" s="1"/>
  <c r="N21" i="5" s="1"/>
  <c r="H31" i="4"/>
  <c r="E30" i="4"/>
  <c r="Q28" i="4"/>
  <c r="M28" i="4"/>
  <c r="B28" i="4"/>
  <c r="B27" i="4"/>
  <c r="B21" i="4"/>
  <c r="I20" i="4"/>
  <c r="I16" i="4"/>
  <c r="B14" i="4"/>
  <c r="B15" i="4" s="1"/>
  <c r="B16" i="4" s="1"/>
  <c r="I8" i="4"/>
  <c r="D5" i="4"/>
  <c r="O21" i="4" s="1"/>
  <c r="N11" i="5" l="1"/>
  <c r="N6" i="5"/>
  <c r="L16" i="4"/>
  <c r="L33" i="4"/>
  <c r="E26" i="4"/>
  <c r="B26" i="4"/>
  <c r="B29" i="4" s="1"/>
  <c r="B17" i="4"/>
  <c r="B22" i="4" l="1"/>
  <c r="B23" i="4" s="1"/>
  <c r="H33" i="4"/>
  <c r="E33" i="4"/>
  <c r="E18" i="4"/>
  <c r="F7" i="4"/>
  <c r="H32" i="4"/>
  <c r="H34" i="4" l="1"/>
  <c r="L37" i="4" s="1"/>
  <c r="H35" i="4"/>
  <c r="L36" i="4" s="1"/>
  <c r="D7" i="4"/>
  <c r="L32" i="4"/>
  <c r="I21" i="4" l="1"/>
  <c r="I22" i="4" s="1"/>
  <c r="E15" i="4"/>
  <c r="I6" i="4" s="1"/>
  <c r="I9" i="4" s="1"/>
  <c r="E14" i="4"/>
  <c r="E9" i="4"/>
  <c r="E22" i="4" l="1"/>
  <c r="E23" i="4" s="1"/>
  <c r="E19" i="4"/>
  <c r="I7" i="4" l="1"/>
  <c r="E31" i="4"/>
  <c r="E32" i="4" s="1"/>
  <c r="E27" i="4"/>
  <c r="E35" i="4" l="1"/>
  <c r="L34" i="4" s="1"/>
  <c r="E34" i="4"/>
  <c r="L35" i="4" s="1"/>
  <c r="H32" i="3" l="1"/>
  <c r="E31" i="3"/>
  <c r="B27" i="3"/>
  <c r="E22" i="3"/>
  <c r="B18" i="3"/>
  <c r="B19" i="3" s="1"/>
  <c r="B17" i="3"/>
  <c r="B21" i="3" s="1"/>
  <c r="H14" i="3"/>
  <c r="H21" i="3" s="1"/>
  <c r="H12" i="3"/>
  <c r="E11" i="3"/>
  <c r="J5" i="3"/>
  <c r="E20" i="3" l="1"/>
  <c r="E24" i="3" s="1"/>
  <c r="B20" i="3"/>
  <c r="L17" i="3" l="1"/>
  <c r="B25" i="3"/>
  <c r="B38" i="3" l="1"/>
  <c r="H26" i="3"/>
  <c r="H31" i="3"/>
  <c r="K9" i="3"/>
  <c r="H13" i="3"/>
  <c r="H16" i="3" s="1"/>
  <c r="B26" i="3"/>
  <c r="B28" i="3" s="1"/>
  <c r="B30" i="3" s="1"/>
  <c r="B34" i="3" l="1"/>
  <c r="B39" i="3" s="1"/>
  <c r="H33" i="3"/>
  <c r="H34" i="3" s="1"/>
  <c r="B35" i="3"/>
  <c r="H5" i="3" l="1"/>
  <c r="H19" i="3"/>
  <c r="H20" i="3" s="1"/>
  <c r="H23" i="3" s="1"/>
  <c r="E7" i="3"/>
  <c r="E8" i="3" s="1"/>
  <c r="E23" i="3" s="1"/>
  <c r="E25" i="3"/>
  <c r="E32" i="3" l="1"/>
  <c r="E26" i="3"/>
  <c r="E27" i="3" s="1"/>
  <c r="E28" i="3" s="1"/>
  <c r="E29" i="3" s="1"/>
  <c r="H15" i="3"/>
  <c r="H8" i="3"/>
  <c r="E30" i="3" l="1"/>
  <c r="M28" i="3"/>
  <c r="E33" i="3"/>
  <c r="M9" i="3"/>
  <c r="H6" i="3" l="1"/>
  <c r="H27" i="3"/>
  <c r="E19" i="3"/>
  <c r="E21" i="3" s="1"/>
  <c r="B22" i="2" l="1"/>
  <c r="L14" i="2" s="1"/>
  <c r="B16" i="2"/>
  <c r="B17" i="2" s="1"/>
  <c r="L12" i="2"/>
  <c r="P7" i="2"/>
  <c r="P5" i="2"/>
  <c r="P28" i="2" s="1"/>
  <c r="K18" i="2" l="1"/>
  <c r="L5" i="2"/>
  <c r="B18" i="2"/>
  <c r="L11" i="2"/>
  <c r="B26" i="2"/>
  <c r="B27" i="2" s="1"/>
  <c r="P4" i="2"/>
  <c r="Q15" i="2" s="1"/>
  <c r="B29" i="2" l="1"/>
  <c r="G15" i="2" s="1"/>
  <c r="L13" i="2"/>
  <c r="K15" i="2" s="1"/>
  <c r="B28" i="2"/>
  <c r="B31" i="2" s="1"/>
  <c r="A32" i="2" s="1"/>
  <c r="G28" i="2"/>
  <c r="G4" i="2"/>
  <c r="B23" i="2"/>
  <c r="G9" i="2"/>
  <c r="G3" i="2"/>
  <c r="G6" i="2" s="1"/>
  <c r="F5" i="2" l="1"/>
  <c r="L4" i="2"/>
  <c r="K6" i="2" s="1"/>
  <c r="G16" i="2"/>
  <c r="G17" i="2"/>
  <c r="P8" i="2"/>
  <c r="G8" i="2"/>
  <c r="F10" i="2" s="1"/>
  <c r="G11" i="2" l="1"/>
  <c r="F12" i="2" s="1"/>
  <c r="K21" i="2"/>
  <c r="Q21" i="2"/>
  <c r="G21" i="2"/>
  <c r="F21" i="2"/>
  <c r="F22" i="2" l="1"/>
  <c r="G25" i="2"/>
  <c r="G26" i="2" s="1"/>
  <c r="G29" i="2" s="1"/>
  <c r="P10" i="2" s="1"/>
  <c r="Q24" i="2" s="1"/>
  <c r="G59" i="1" l="1"/>
  <c r="G58" i="1"/>
  <c r="B58" i="1"/>
  <c r="G57" i="1"/>
  <c r="B56" i="1"/>
  <c r="G55" i="1"/>
  <c r="B55" i="1"/>
  <c r="G54" i="1"/>
  <c r="B54" i="1"/>
  <c r="G53" i="1"/>
  <c r="B47" i="1"/>
  <c r="G46" i="1"/>
  <c r="H44" i="1"/>
  <c r="B44" i="1"/>
  <c r="B45" i="1" s="1"/>
  <c r="H43" i="1"/>
  <c r="B43" i="1"/>
  <c r="G37" i="1"/>
  <c r="H35" i="1"/>
  <c r="B35" i="1"/>
  <c r="B36" i="1" s="1"/>
  <c r="B37" i="1" s="1"/>
  <c r="A39" i="1" s="1"/>
  <c r="B34" i="1"/>
  <c r="H32" i="1"/>
  <c r="H33" i="1" s="1"/>
  <c r="H34" i="1" s="1"/>
  <c r="H26" i="1"/>
  <c r="G28" i="1" s="1"/>
  <c r="H25" i="1"/>
  <c r="H24" i="1"/>
  <c r="H23" i="1"/>
  <c r="B21" i="1"/>
  <c r="B20" i="1"/>
  <c r="B8" i="1"/>
  <c r="B9" i="1" s="1"/>
  <c r="B23" i="1" s="1"/>
  <c r="B46" i="1" l="1"/>
  <c r="G60" i="1"/>
  <c r="B48" i="1"/>
  <c r="B59" i="1"/>
  <c r="B24" i="1"/>
  <c r="B13" i="1"/>
  <c r="B14" i="1" s="1"/>
  <c r="B22" i="1"/>
  <c r="A26" i="1" l="1"/>
  <c r="G56" i="1"/>
  <c r="G61" i="1"/>
  <c r="A61" i="1"/>
</calcChain>
</file>

<file path=xl/sharedStrings.xml><?xml version="1.0" encoding="utf-8"?>
<sst xmlns="http://schemas.openxmlformats.org/spreadsheetml/2006/main" count="1228" uniqueCount="663">
  <si>
    <t>1)DESIGN DATA INPUT</t>
  </si>
  <si>
    <t xml:space="preserve">ISOLATED FOOTING </t>
  </si>
  <si>
    <t>Axial Load ,P</t>
  </si>
  <si>
    <t>KN</t>
  </si>
  <si>
    <t>Column size</t>
  </si>
  <si>
    <t>Mx</t>
  </si>
  <si>
    <t>KN-M</t>
  </si>
  <si>
    <t>a</t>
  </si>
  <si>
    <t>mm</t>
  </si>
  <si>
    <t>m</t>
  </si>
  <si>
    <t>Mz</t>
  </si>
  <si>
    <t>b</t>
  </si>
  <si>
    <t>Safe bearing capacity,SBC</t>
  </si>
  <si>
    <t>KN/M^2</t>
  </si>
  <si>
    <t>Concrete,Fck</t>
  </si>
  <si>
    <t>Mpa</t>
  </si>
  <si>
    <t>Steel,Fy</t>
  </si>
  <si>
    <t>Weight of footing</t>
  </si>
  <si>
    <t>Total Load</t>
  </si>
  <si>
    <t>2)SIZE OF FOOTING</t>
  </si>
  <si>
    <t>Area,A</t>
  </si>
  <si>
    <t>Footing size</t>
  </si>
  <si>
    <t>S</t>
  </si>
  <si>
    <t xml:space="preserve">m </t>
  </si>
  <si>
    <t>B</t>
  </si>
  <si>
    <t>D</t>
  </si>
  <si>
    <t>3)CHECK FOR SBC</t>
  </si>
  <si>
    <t>4)</t>
  </si>
  <si>
    <t>DEPTH OF FOOTING</t>
  </si>
  <si>
    <t>m^2</t>
  </si>
  <si>
    <t>Asumming 0.2% of steel for M25</t>
  </si>
  <si>
    <t>Z</t>
  </si>
  <si>
    <t>m^3</t>
  </si>
  <si>
    <t>Q(0.133 For Fe500)</t>
  </si>
  <si>
    <t>qu</t>
  </si>
  <si>
    <t>N/mm^2</t>
  </si>
  <si>
    <t>τc</t>
  </si>
  <si>
    <t>Pmax</t>
  </si>
  <si>
    <t>KN/m^2</t>
  </si>
  <si>
    <t>Mu</t>
  </si>
  <si>
    <t>95*10^3</t>
  </si>
  <si>
    <t>N-mm</t>
  </si>
  <si>
    <t>Pmin</t>
  </si>
  <si>
    <t>d, required</t>
  </si>
  <si>
    <t>Both are &lt;SBC</t>
  </si>
  <si>
    <t>b+d</t>
  </si>
  <si>
    <t>Mu limit</t>
  </si>
  <si>
    <t>1.27*10^9</t>
  </si>
  <si>
    <t>Mu&lt;Mu lim</t>
  </si>
  <si>
    <t xml:space="preserve"> 5)CHECK FOR ONE WAY SHEAR</t>
  </si>
  <si>
    <t>6)</t>
  </si>
  <si>
    <t>CHECK FOR TWO WAY SHEAR</t>
  </si>
  <si>
    <t>perimeter of critical c/s</t>
  </si>
  <si>
    <t>Area</t>
  </si>
  <si>
    <t>mm^2</t>
  </si>
  <si>
    <t>Restricted shear</t>
  </si>
  <si>
    <r>
      <t>Shear stress,</t>
    </r>
    <r>
      <rPr>
        <sz val="11"/>
        <color theme="1"/>
        <rFont val="Calibri"/>
        <family val="2"/>
      </rPr>
      <t>τc</t>
    </r>
  </si>
  <si>
    <t>(B-a/2)</t>
  </si>
  <si>
    <t>τc Max</t>
  </si>
  <si>
    <t>Vu</t>
  </si>
  <si>
    <t>τc &lt; τcMax</t>
  </si>
  <si>
    <t>τv</t>
  </si>
  <si>
    <t>τv&lt;k.τc</t>
  </si>
  <si>
    <t>7)REINFORCEMENT REQUIRED</t>
  </si>
  <si>
    <t>8)</t>
  </si>
  <si>
    <t>CHECK FOR DEVELOPMENT LENGTH</t>
  </si>
  <si>
    <r>
      <t>Providing Diameter Bar,</t>
    </r>
    <r>
      <rPr>
        <sz val="11"/>
        <color theme="1"/>
        <rFont val="Calibri"/>
        <family val="2"/>
      </rPr>
      <t>ᵠ</t>
    </r>
  </si>
  <si>
    <t>τbd</t>
  </si>
  <si>
    <t>area of bar</t>
  </si>
  <si>
    <t>Ld</t>
  </si>
  <si>
    <t>Lf</t>
  </si>
  <si>
    <t>Ast req</t>
  </si>
  <si>
    <t>Lf&gt;Ld</t>
  </si>
  <si>
    <t>Area of 1 bar,n</t>
  </si>
  <si>
    <t>Ast provided</t>
  </si>
  <si>
    <t>spacing</t>
  </si>
  <si>
    <t xml:space="preserve">mm </t>
  </si>
  <si>
    <t>use 12mm dia bars @167 mm c/c</t>
  </si>
  <si>
    <t>9)CHECK FOR BEARING</t>
  </si>
  <si>
    <t>10)</t>
  </si>
  <si>
    <t>SUMMARY</t>
  </si>
  <si>
    <t>Assuming dispersion load at slope 1:2</t>
  </si>
  <si>
    <t>width of dispersion</t>
  </si>
  <si>
    <t>Area of Footing, A1</t>
  </si>
  <si>
    <t>SBC</t>
  </si>
  <si>
    <t>Area of Column base,A2</t>
  </si>
  <si>
    <t>Permissible bearing stress</t>
  </si>
  <si>
    <t>Allowable bearing pressure</t>
  </si>
  <si>
    <t>depth,d</t>
  </si>
  <si>
    <t>Actual bearing pressure</t>
  </si>
  <si>
    <t xml:space="preserve"> Diameter Bar,ᵠ</t>
  </si>
  <si>
    <t>Act bearing pressure&lt;Allo Bearing Pressure</t>
  </si>
  <si>
    <t>Ast</t>
  </si>
  <si>
    <t>Actual bearing press</t>
  </si>
  <si>
    <t>INPUT DATA</t>
  </si>
  <si>
    <t>Reinforcement</t>
  </si>
  <si>
    <t>Length btw end Supports</t>
  </si>
  <si>
    <t xml:space="preserve"> Sq mm</t>
  </si>
  <si>
    <t>Check</t>
  </si>
  <si>
    <t>Summary</t>
  </si>
  <si>
    <t>support width</t>
  </si>
  <si>
    <t>Ast min</t>
  </si>
  <si>
    <t>Sq mm</t>
  </si>
  <si>
    <t>Min Ast</t>
  </si>
  <si>
    <t>Depth (mm)</t>
  </si>
  <si>
    <t>Fck</t>
  </si>
  <si>
    <t>N/ Sq mm</t>
  </si>
  <si>
    <t>Max Ast</t>
  </si>
  <si>
    <t>Width (mm)</t>
  </si>
  <si>
    <t>Fy</t>
  </si>
  <si>
    <t>No.of Bars</t>
  </si>
  <si>
    <t xml:space="preserve"> max Bar dia</t>
  </si>
  <si>
    <t>Bar size (mm)</t>
  </si>
  <si>
    <t>Clear cover</t>
  </si>
  <si>
    <t>Xu</t>
  </si>
  <si>
    <t>Trans bar dia</t>
  </si>
  <si>
    <t>Xulim</t>
  </si>
  <si>
    <t>Check for Deflection</t>
  </si>
  <si>
    <t>Loads</t>
  </si>
  <si>
    <t>Shear Reinforcement</t>
  </si>
  <si>
    <t>Live load</t>
  </si>
  <si>
    <t>KN /m</t>
  </si>
  <si>
    <t>MuR</t>
  </si>
  <si>
    <t>KN -m</t>
  </si>
  <si>
    <t>I</t>
  </si>
  <si>
    <t>mm ^4</t>
  </si>
  <si>
    <t>SDL</t>
  </si>
  <si>
    <t>E</t>
  </si>
  <si>
    <t xml:space="preserve"> </t>
  </si>
  <si>
    <t>Elastic defl</t>
  </si>
  <si>
    <t>Depth Calculations</t>
  </si>
  <si>
    <t>Shear Design</t>
  </si>
  <si>
    <t>Max defl</t>
  </si>
  <si>
    <t>L/D ratio (assume)</t>
  </si>
  <si>
    <t>Dreq</t>
  </si>
  <si>
    <t>tou v</t>
  </si>
  <si>
    <t xml:space="preserve"> mpa</t>
  </si>
  <si>
    <t>Dpro</t>
  </si>
  <si>
    <t>Pt prov</t>
  </si>
  <si>
    <t>Check For Side face Reinforcement</t>
  </si>
  <si>
    <t>d</t>
  </si>
  <si>
    <t>Import tou c Values form T-19 IS 456</t>
  </si>
  <si>
    <t>WIDTH  (assume)</t>
  </si>
  <si>
    <t>mpa</t>
  </si>
  <si>
    <t>Effective Span</t>
  </si>
  <si>
    <t>c/c</t>
  </si>
  <si>
    <t>c/c + d</t>
  </si>
  <si>
    <t>Factored B.M &amp; S.F</t>
  </si>
  <si>
    <t>Vus</t>
  </si>
  <si>
    <t>Self wt</t>
  </si>
  <si>
    <t>KN/m</t>
  </si>
  <si>
    <t>Su cal</t>
  </si>
  <si>
    <t>Factored Load</t>
  </si>
  <si>
    <t>B.M</t>
  </si>
  <si>
    <t>KN-m</t>
  </si>
  <si>
    <t xml:space="preserve">0.75d </t>
  </si>
  <si>
    <t>S.F</t>
  </si>
  <si>
    <t>Provide Spacing</t>
  </si>
  <si>
    <t>dreq</t>
  </si>
  <si>
    <t>DESIGN OF  R.C BEAM</t>
  </si>
  <si>
    <t>INPUT DETAILS</t>
  </si>
  <si>
    <t>CHECK FOR SHAER</t>
  </si>
  <si>
    <t>CHECK FOR LATERAL BUCKLING</t>
  </si>
  <si>
    <t>CLEAR SPAN</t>
  </si>
  <si>
    <t>TOV</t>
  </si>
  <si>
    <t>N/sqmm</t>
  </si>
  <si>
    <t>WIDTH OF SUPPORT</t>
  </si>
  <si>
    <t>Reinforcement Details</t>
  </si>
  <si>
    <t>% OF STEEL (Pt)</t>
  </si>
  <si>
    <t>%</t>
  </si>
  <si>
    <t>WORKING LIVE LOAD</t>
  </si>
  <si>
    <t>Mu/Bd^2</t>
  </si>
  <si>
    <t>TOC FOR Pt %</t>
  </si>
  <si>
    <t>GRADE OF CONCRETE</t>
  </si>
  <si>
    <t>AST(REQ)</t>
  </si>
  <si>
    <t>CHECK</t>
  </si>
  <si>
    <t>GRADE OF STEEL</t>
  </si>
  <si>
    <t>DIA OF BAR</t>
  </si>
  <si>
    <t>STIRRUPS AND ITS SPACING</t>
  </si>
  <si>
    <t xml:space="preserve">CLEAR COVER </t>
  </si>
  <si>
    <t>AREA OF SINGLE BAR(ast)</t>
  </si>
  <si>
    <t>DIA OF STIRRUPS</t>
  </si>
  <si>
    <t>Asv</t>
  </si>
  <si>
    <t>sqmm</t>
  </si>
  <si>
    <t>UNIT WEIGHT OF CONCRETE(RCC)</t>
  </si>
  <si>
    <t>KN/m^3</t>
  </si>
  <si>
    <t>Sv</t>
  </si>
  <si>
    <t>permissible</t>
  </si>
  <si>
    <t>CROSS SECTIONAL DIMENIONS</t>
  </si>
  <si>
    <t>LET DEPTH RATIO</t>
  </si>
  <si>
    <t>ADOPT SPACING</t>
  </si>
  <si>
    <t>EFFECTIVE DEPTH (d)</t>
  </si>
  <si>
    <t>Depth of Neutral axis</t>
  </si>
  <si>
    <t>EFFECTIVE COVER(REQ)</t>
  </si>
  <si>
    <t>fy</t>
  </si>
  <si>
    <t>EFFECTIVE COVER(PRO)(d')</t>
  </si>
  <si>
    <t>OVERALL DEPTH(D)</t>
  </si>
  <si>
    <t>Xu limit</t>
  </si>
  <si>
    <t>EFFECTIVE SPAN LENGTH</t>
  </si>
  <si>
    <t>M</t>
  </si>
  <si>
    <t>MOE of Steel</t>
  </si>
  <si>
    <t>LOAD CALCULATIONS</t>
  </si>
  <si>
    <t>AST1</t>
  </si>
  <si>
    <t>sqm</t>
  </si>
  <si>
    <t>ADOPT SPACING =</t>
  </si>
  <si>
    <t>Fsc</t>
  </si>
  <si>
    <t>WIDTH OF A BEAM(ASSUME)</t>
  </si>
  <si>
    <t>Asc</t>
  </si>
  <si>
    <t>MINIMUM AST</t>
  </si>
  <si>
    <t>DEAD LOADS</t>
  </si>
  <si>
    <t>AST2</t>
  </si>
  <si>
    <t>AST(min)</t>
  </si>
  <si>
    <t>LIVE LOAD(L.L)</t>
  </si>
  <si>
    <t xml:space="preserve">ASt(req) </t>
  </si>
  <si>
    <t>TOTAL LOAD (W)</t>
  </si>
  <si>
    <t xml:space="preserve">no of bars </t>
  </si>
  <si>
    <t>PARTIAL SAFTEY FACTOR</t>
  </si>
  <si>
    <t xml:space="preserve">no of bars (pro) </t>
  </si>
  <si>
    <t>DESIGN ULTIMATE LOAD (Wu)</t>
  </si>
  <si>
    <t xml:space="preserve">area (pro) </t>
  </si>
  <si>
    <t>CHECK FOR DEFLECTION</t>
  </si>
  <si>
    <t>bar size in con zone</t>
  </si>
  <si>
    <t>MOI</t>
  </si>
  <si>
    <t>no of bars in con zone</t>
  </si>
  <si>
    <t>MOE</t>
  </si>
  <si>
    <t>ULTIMATE MOMENT &amp; SHEAR FORCE</t>
  </si>
  <si>
    <t xml:space="preserve">steel (pro) in concrete </t>
  </si>
  <si>
    <t xml:space="preserve">deflection </t>
  </si>
  <si>
    <t>KNm</t>
  </si>
  <si>
    <t>check</t>
  </si>
  <si>
    <t>SHEAR FORCE</t>
  </si>
  <si>
    <t>TENSION REINFORCEMENT</t>
  </si>
  <si>
    <t>Mu LIMIT</t>
  </si>
  <si>
    <t>SIMPLY SUPPORTED ONE WAY SLAB</t>
  </si>
  <si>
    <t>CLEAR SPAN (M)</t>
  </si>
  <si>
    <t>Fck(Mpa)</t>
  </si>
  <si>
    <t>DIMENSIONS OF SLAB(M)</t>
  </si>
  <si>
    <t>FY(N/sqmm)</t>
  </si>
  <si>
    <t>X</t>
  </si>
  <si>
    <t>CHECK FOR SHEAR</t>
  </si>
  <si>
    <t>CLEAR COVER(mm)</t>
  </si>
  <si>
    <t>EFFCTIVE SPANS</t>
  </si>
  <si>
    <t>BAR DIA(mm)</t>
  </si>
  <si>
    <t>% OF  TENSION REFT</t>
  </si>
  <si>
    <t>WIDTH OF THE WALL(mm)</t>
  </si>
  <si>
    <t>ASPECT RATIO</t>
  </si>
  <si>
    <t>TOC</t>
  </si>
  <si>
    <t>LIVE LOAD (Kn/sqm)</t>
  </si>
  <si>
    <t>FLOOR FINISH (Kn/sqm)</t>
  </si>
  <si>
    <t>SELF WEIGHT CONCRETE(Kn/sqm)</t>
  </si>
  <si>
    <t>THICKNESS OF SLAB</t>
  </si>
  <si>
    <t>ULTIMATE MOMENT &amp;SHEAR FORCE</t>
  </si>
  <si>
    <t>SUGGESTED "d"</t>
  </si>
  <si>
    <t>(l/d)basic</t>
  </si>
  <si>
    <t>SUGGESTED "D"</t>
  </si>
  <si>
    <t>PROVIDED "D"</t>
  </si>
  <si>
    <t>Fs</t>
  </si>
  <si>
    <t>effective depth "d"</t>
  </si>
  <si>
    <t>LIMITING MOMENT OF RESISTENCE</t>
  </si>
  <si>
    <t>Kt</t>
  </si>
  <si>
    <t>Kc</t>
  </si>
  <si>
    <t>EFFECTIVE SPAN</t>
  </si>
  <si>
    <t>FACTOR</t>
  </si>
  <si>
    <t>Whichever is lesser</t>
  </si>
  <si>
    <t>(l/d)MAX</t>
  </si>
  <si>
    <t>a)c/c of Supports</t>
  </si>
  <si>
    <t>MAIN REINFORCEMENT</t>
  </si>
  <si>
    <t>(l/d)PRO</t>
  </si>
  <si>
    <t>b) Clear span +eff d</t>
  </si>
  <si>
    <t>Mu/bd^2</t>
  </si>
  <si>
    <t>Hence, Effective Span</t>
  </si>
  <si>
    <t>AST req</t>
  </si>
  <si>
    <t>Sqmm</t>
  </si>
  <si>
    <t>LOADS CALCULATIONS</t>
  </si>
  <si>
    <t>(FOR 1M WIDTH OF SLAB)</t>
  </si>
  <si>
    <t>CHECK FOR MIN AST</t>
  </si>
  <si>
    <t>SELF WEIGHT</t>
  </si>
  <si>
    <t>Kn/sqm</t>
  </si>
  <si>
    <t>AST min</t>
  </si>
  <si>
    <t>FLOOR FINISH</t>
  </si>
  <si>
    <t xml:space="preserve">CHECK </t>
  </si>
  <si>
    <t>LIVE LOAD</t>
  </si>
  <si>
    <t>TOTAL FACTORED LOAD</t>
  </si>
  <si>
    <t xml:space="preserve">SPACING </t>
  </si>
  <si>
    <t>SPACING FOR MIN REINFORCEMENT</t>
  </si>
  <si>
    <t>AREA OF BAR</t>
  </si>
  <si>
    <t>BAR SIZE</t>
  </si>
  <si>
    <t xml:space="preserve">Summary </t>
  </si>
  <si>
    <t>Spro</t>
  </si>
  <si>
    <t>3d</t>
  </si>
  <si>
    <t>5d</t>
  </si>
  <si>
    <t>depth of beam</t>
  </si>
  <si>
    <t>PROVIDE SPACING c/c</t>
  </si>
  <si>
    <t>Ast Provided</t>
  </si>
  <si>
    <t>Ast Pro</t>
  </si>
  <si>
    <t>PROVIDED ast</t>
  </si>
  <si>
    <t>with Spacing</t>
  </si>
  <si>
    <t>Distribution ast pro</t>
  </si>
  <si>
    <t>DESIGN OF SLABS</t>
  </si>
  <si>
    <t>DATA</t>
  </si>
  <si>
    <t>Effective length calculations</t>
  </si>
  <si>
    <t>Check for depth</t>
  </si>
  <si>
    <t>Check for shear</t>
  </si>
  <si>
    <t>Shorter side(lx)</t>
  </si>
  <si>
    <t>for shorter span(Lx eff)</t>
  </si>
  <si>
    <t>d req</t>
  </si>
  <si>
    <t xml:space="preserve">τv </t>
  </si>
  <si>
    <t>N/mm2</t>
  </si>
  <si>
    <t>longer side(ly)</t>
  </si>
  <si>
    <t>1)clear span+eff depth</t>
  </si>
  <si>
    <t>% of steel</t>
  </si>
  <si>
    <t>kN/m2</t>
  </si>
  <si>
    <t>2)center to center distance</t>
  </si>
  <si>
    <t>floor finisher</t>
  </si>
  <si>
    <t>Lx eff</t>
  </si>
  <si>
    <t xml:space="preserve">Check  </t>
  </si>
  <si>
    <t>for longer span(Ly eff)</t>
  </si>
  <si>
    <t>Reinforcement calculations</t>
  </si>
  <si>
    <t>mm2</t>
  </si>
  <si>
    <t>bar dia</t>
  </si>
  <si>
    <t xml:space="preserve"> Ast min</t>
  </si>
  <si>
    <t>clear cover</t>
  </si>
  <si>
    <t>Ly eff</t>
  </si>
  <si>
    <t>Req Ast</t>
  </si>
  <si>
    <t>fs</t>
  </si>
  <si>
    <t>wall thickness</t>
  </si>
  <si>
    <t>area of one bar</t>
  </si>
  <si>
    <t>K</t>
  </si>
  <si>
    <t>Ly/Lx</t>
  </si>
  <si>
    <t>Load calculations</t>
  </si>
  <si>
    <t>no.of bars</t>
  </si>
  <si>
    <t>Allowable L/d</t>
  </si>
  <si>
    <t>Check for one or two way slab</t>
  </si>
  <si>
    <t>Dead load</t>
  </si>
  <si>
    <t>provided no of bars</t>
  </si>
  <si>
    <t>provided L/d</t>
  </si>
  <si>
    <t>provided Ast</t>
  </si>
  <si>
    <t>Depth/thickness of slab</t>
  </si>
  <si>
    <t>Total load</t>
  </si>
  <si>
    <t>Spacing main r/f</t>
  </si>
  <si>
    <t xml:space="preserve">d </t>
  </si>
  <si>
    <t>factored load</t>
  </si>
  <si>
    <t>spacing provided</t>
  </si>
  <si>
    <t>d provided</t>
  </si>
  <si>
    <t>kNm</t>
  </si>
  <si>
    <t>3*d</t>
  </si>
  <si>
    <t>DEPTH</t>
  </si>
  <si>
    <t>total depth "D"</t>
  </si>
  <si>
    <t>kN</t>
  </si>
  <si>
    <t>max spacing</t>
  </si>
  <si>
    <t>main reinforcement c/c spacing</t>
  </si>
  <si>
    <t>spacing required</t>
  </si>
  <si>
    <t>distribution r/f spacing</t>
  </si>
  <si>
    <t>provided spacing</t>
  </si>
  <si>
    <t>Distribution reinforcement</t>
  </si>
  <si>
    <t>Bar dia</t>
  </si>
  <si>
    <t>No of bars</t>
  </si>
  <si>
    <t>spacing DR/f</t>
  </si>
  <si>
    <t>1)req spacing</t>
  </si>
  <si>
    <t>2)450mm</t>
  </si>
  <si>
    <t>required spacing</t>
  </si>
  <si>
    <t>DESIGN OF STAIRCASE</t>
  </si>
  <si>
    <t>Effective SPAN</t>
  </si>
  <si>
    <t>Width</t>
  </si>
  <si>
    <t>Floor Height</t>
  </si>
  <si>
    <t>Riser</t>
  </si>
  <si>
    <t>Design Moment</t>
  </si>
  <si>
    <t>Tread</t>
  </si>
  <si>
    <t>Consider 1m Width of Slab,Wu</t>
  </si>
  <si>
    <t>kn/sqm</t>
  </si>
  <si>
    <t>Landing Width</t>
  </si>
  <si>
    <t>Mu max = WuL^2/12</t>
  </si>
  <si>
    <t>kn.m</t>
  </si>
  <si>
    <t>Dia of Reinforcement</t>
  </si>
  <si>
    <t xml:space="preserve">Finish Load </t>
  </si>
  <si>
    <t>kn/sqmm</t>
  </si>
  <si>
    <t>Live Load</t>
  </si>
  <si>
    <t>Main  STEEL</t>
  </si>
  <si>
    <t>distribution Steel:</t>
  </si>
  <si>
    <t>Grade of Concrete</t>
  </si>
  <si>
    <t>Ast(min)</t>
  </si>
  <si>
    <t>width of support</t>
  </si>
  <si>
    <t>Rqequired Ast</t>
  </si>
  <si>
    <t xml:space="preserve">Dia </t>
  </si>
  <si>
    <t>Height  of each flight</t>
  </si>
  <si>
    <t>area of  BAR</t>
  </si>
  <si>
    <t>No of Risers in each flight</t>
  </si>
  <si>
    <t xml:space="preserve">Spacing </t>
  </si>
  <si>
    <t>No of treads in each Flight</t>
  </si>
  <si>
    <t xml:space="preserve">Provide </t>
  </si>
  <si>
    <t>mm @</t>
  </si>
  <si>
    <t>mm c/c</t>
  </si>
  <si>
    <t>mm@</t>
  </si>
  <si>
    <t>Calc of Effective depth</t>
  </si>
  <si>
    <t>the depth of Waist Slab (assumed)</t>
  </si>
  <si>
    <t>Sprovided</t>
  </si>
  <si>
    <t xml:space="preserve">Development Length </t>
  </si>
  <si>
    <t>Effective Depth</t>
  </si>
  <si>
    <t>provide Ld</t>
  </si>
  <si>
    <t>Load Calculations</t>
  </si>
  <si>
    <t>fs=0.58xfyxAst.req/Ast.pro</t>
  </si>
  <si>
    <t>Self weight ,wd</t>
  </si>
  <si>
    <t>pt .provided</t>
  </si>
  <si>
    <t>wt. of steps</t>
  </si>
  <si>
    <t>Modification Factors</t>
  </si>
  <si>
    <t>live load</t>
  </si>
  <si>
    <t>kt</t>
  </si>
  <si>
    <t>finish Load</t>
  </si>
  <si>
    <t>kc</t>
  </si>
  <si>
    <t>Total Worling Load</t>
  </si>
  <si>
    <t>Factored Load ,Wu</t>
  </si>
  <si>
    <t>(l/d)mod</t>
  </si>
  <si>
    <t>DESIGN OF RETAINING WALL</t>
  </si>
  <si>
    <t>Data</t>
  </si>
  <si>
    <t>Design of Toe Slab</t>
  </si>
  <si>
    <t>Height of R wall</t>
  </si>
  <si>
    <t>KN / Sq m</t>
  </si>
  <si>
    <t>Angle of internal friction of back fill</t>
  </si>
  <si>
    <t>Ø</t>
  </si>
  <si>
    <t>Angle of friction btw the fill &amp; wall face</t>
  </si>
  <si>
    <t>Net upward pre @ stem</t>
  </si>
  <si>
    <t>Angle btw surface of Soil &amp; horizontal plane</t>
  </si>
  <si>
    <t>theta</t>
  </si>
  <si>
    <t>Net upward pre @ Toe</t>
  </si>
  <si>
    <t>Inclination of wall to he vertical</t>
  </si>
  <si>
    <t>KNm/m</t>
  </si>
  <si>
    <t xml:space="preserve">Clear Cover </t>
  </si>
  <si>
    <t>Sq mm /m</t>
  </si>
  <si>
    <t>For foundation</t>
  </si>
  <si>
    <t>Spacing req</t>
  </si>
  <si>
    <t>For Stem</t>
  </si>
  <si>
    <t>Dist reinforcement @0.12%</t>
  </si>
  <si>
    <t>Materials</t>
  </si>
  <si>
    <t>Sat dendity of Soil</t>
  </si>
  <si>
    <t>KN/ m^3</t>
  </si>
  <si>
    <t>Unit wt of RCC</t>
  </si>
  <si>
    <t>Grade of Steel</t>
  </si>
  <si>
    <t>Fe</t>
  </si>
  <si>
    <t>Surcharge</t>
  </si>
  <si>
    <t>KN / m^2</t>
  </si>
  <si>
    <t>SBC of Soil</t>
  </si>
  <si>
    <t>Design of Heel Slab</t>
  </si>
  <si>
    <t>@</t>
  </si>
  <si>
    <t>KN/ Sq m</t>
  </si>
  <si>
    <t>Friction Coeff</t>
  </si>
  <si>
    <t>Soil pre on heel</t>
  </si>
  <si>
    <t>Coefficients of Earth Pressure</t>
  </si>
  <si>
    <t>Ca</t>
  </si>
  <si>
    <t>pre @ back face of Stem</t>
  </si>
  <si>
    <t>Cp</t>
  </si>
  <si>
    <t xml:space="preserve"> net pre @ back face of Stem</t>
  </si>
  <si>
    <t>Bar Dia in footing Slab</t>
  </si>
  <si>
    <t xml:space="preserve"> net pre @ end of Stem</t>
  </si>
  <si>
    <t>Dist bar dia</t>
  </si>
  <si>
    <t>Bar in Stem</t>
  </si>
  <si>
    <t>KNm /m</t>
  </si>
  <si>
    <t xml:space="preserve"> Preliminary Proportions</t>
  </si>
  <si>
    <t>R</t>
  </si>
  <si>
    <t>H</t>
  </si>
  <si>
    <t>Thickness of Footing Slab (0.1H)</t>
  </si>
  <si>
    <t>Stem thickness</t>
  </si>
  <si>
    <t>At base(0.1H)</t>
  </si>
  <si>
    <t>At top(0.3m min)</t>
  </si>
  <si>
    <t>Length of Slab(0.5H to 0.7H)</t>
  </si>
  <si>
    <t>width of toe slab</t>
  </si>
  <si>
    <t>width of heel  slab</t>
  </si>
  <si>
    <t>Stability againt Overturning</t>
  </si>
  <si>
    <t>Design of vertical Stem</t>
  </si>
  <si>
    <t>h</t>
  </si>
  <si>
    <t>H'</t>
  </si>
  <si>
    <t>d(at base )</t>
  </si>
  <si>
    <t>Pa</t>
  </si>
  <si>
    <t>KN m/m</t>
  </si>
  <si>
    <t>Pa cos (theta)</t>
  </si>
  <si>
    <t>Pa sin (theta)</t>
  </si>
  <si>
    <t>Mo</t>
  </si>
  <si>
    <t>Force(KN)</t>
  </si>
  <si>
    <t>dist form toe(m)</t>
  </si>
  <si>
    <t>Moment(KNm)</t>
  </si>
  <si>
    <t>Dist reinforcement</t>
  </si>
  <si>
    <t>W1</t>
  </si>
  <si>
    <t>W2</t>
  </si>
  <si>
    <t>W3</t>
  </si>
  <si>
    <t>W4</t>
  </si>
  <si>
    <t>W5</t>
  </si>
  <si>
    <t>xw</t>
  </si>
  <si>
    <t>Mr</t>
  </si>
  <si>
    <t>FOS</t>
  </si>
  <si>
    <t>Soil pressures @footing base</t>
  </si>
  <si>
    <t>e</t>
  </si>
  <si>
    <t>Qmax</t>
  </si>
  <si>
    <t>KN / Sq mm</t>
  </si>
  <si>
    <t>Qmin</t>
  </si>
  <si>
    <t>Stability against Sliding</t>
  </si>
  <si>
    <t>Shear Key@ Form toe</t>
  </si>
  <si>
    <t>Pp</t>
  </si>
  <si>
    <t>FS</t>
  </si>
  <si>
    <t xml:space="preserve">DESIGN OF COMBINED FOOTING </t>
  </si>
  <si>
    <t>CHECK FOR SBC</t>
  </si>
  <si>
    <t>KN/Sqm</t>
  </si>
  <si>
    <t xml:space="preserve">CHECK FOR TWO WAY SHEAR </t>
  </si>
  <si>
    <t>w</t>
  </si>
  <si>
    <t>l</t>
  </si>
  <si>
    <t>P1</t>
  </si>
  <si>
    <t>SECTION OF C1</t>
  </si>
  <si>
    <t>P2</t>
  </si>
  <si>
    <t xml:space="preserve">NET UPWARD PRESSURE </t>
  </si>
  <si>
    <t>SECTION OF C2</t>
  </si>
  <si>
    <t>C/C DISTANCE B/W COLUMNS</t>
  </si>
  <si>
    <t>ULTIMATE FACTORED LOADS</t>
  </si>
  <si>
    <t>UNDER C1</t>
  </si>
  <si>
    <t>Vu2</t>
  </si>
  <si>
    <t>tov v2</t>
  </si>
  <si>
    <t>NUP FOR TOTAL WIDTH</t>
  </si>
  <si>
    <t>0.25*Sqrt of fck</t>
  </si>
  <si>
    <t>FEATURES OF COLUMNS</t>
  </si>
  <si>
    <t>FOR C1</t>
  </si>
  <si>
    <t>SHEAR FOCE CALC</t>
  </si>
  <si>
    <t>UNDER C2</t>
  </si>
  <si>
    <t>DIMENSIONS OF COLUMNS(m)</t>
  </si>
  <si>
    <t>L</t>
  </si>
  <si>
    <t>W</t>
  </si>
  <si>
    <t>SF AT P1</t>
  </si>
  <si>
    <t>SF AT P2</t>
  </si>
  <si>
    <t>SF=0 AT</t>
  </si>
  <si>
    <t>NO OF BARS</t>
  </si>
  <si>
    <t>CALC OF DEPTH FROM ONE WAY SHEAR</t>
  </si>
  <si>
    <t>Pt%</t>
  </si>
  <si>
    <t>TRANSVERSE FLEXURE</t>
  </si>
  <si>
    <t>tov C</t>
  </si>
  <si>
    <t>CANT PROJECTION BEYOND P1</t>
  </si>
  <si>
    <t>AREA OF FOOTING REQ</t>
  </si>
  <si>
    <t>Sqm</t>
  </si>
  <si>
    <t>D pro</t>
  </si>
  <si>
    <t>DIMENSIONING OF FOOTING</t>
  </si>
  <si>
    <t>d prov</t>
  </si>
  <si>
    <t>CALC OF CG OF LOADING</t>
  </si>
  <si>
    <t>M1</t>
  </si>
  <si>
    <t>ABOUT P1</t>
  </si>
  <si>
    <t>DESIGN OF FLEXURE</t>
  </si>
  <si>
    <t>M2</t>
  </si>
  <si>
    <t>ABOUT P2</t>
  </si>
  <si>
    <t>PROJECTION LENGTH</t>
  </si>
  <si>
    <t>LENGTH OF ONE FACE OF FOOTING(L/2)</t>
  </si>
  <si>
    <t>Ast Req</t>
  </si>
  <si>
    <t>LENGTH OF FOOTING (L) REQ</t>
  </si>
  <si>
    <t>LENGTH OF FOOTING (L) PROV</t>
  </si>
  <si>
    <t>Ast pRO</t>
  </si>
  <si>
    <t>WIDTH OF FOOTING REQ</t>
  </si>
  <si>
    <t>PROVIDED (B)</t>
  </si>
  <si>
    <t>DESIGN OF TYPE 1 BRACKET CONNECTION (BOLT)</t>
  </si>
  <si>
    <t xml:space="preserve">Designed Strength Of Bolt </t>
  </si>
  <si>
    <t>LOAD (P)</t>
  </si>
  <si>
    <t xml:space="preserve">ECCENTRICITY </t>
  </si>
  <si>
    <t>Moment of Bolt Group Subjected by P</t>
  </si>
  <si>
    <t xml:space="preserve">THICKNESS OF PLATE </t>
  </si>
  <si>
    <t>provided no fo rows"n'"</t>
  </si>
  <si>
    <t xml:space="preserve">No of Bolts Required in Each Row "n" </t>
  </si>
  <si>
    <t>GRADE OF BOLT</t>
  </si>
  <si>
    <t>Ptovide No of bolts in row</t>
  </si>
  <si>
    <t>fub</t>
  </si>
  <si>
    <t>fu</t>
  </si>
  <si>
    <t>By Using Pythagoras Theory</t>
  </si>
  <si>
    <t>Dia of Bolt</t>
  </si>
  <si>
    <t>Horizontal C/c distance Between bolts</t>
  </si>
  <si>
    <t>Asssumed gmin=</t>
  </si>
  <si>
    <t>Dia of Hole Of Bolt</t>
  </si>
  <si>
    <t>Vertical C/c distance Between bolts</t>
  </si>
  <si>
    <t>horizontal distance From O to Bolt</t>
  </si>
  <si>
    <t xml:space="preserve">FLANGE COLUMN SECTION </t>
  </si>
  <si>
    <t>ISHB 300@619N/M</t>
  </si>
  <si>
    <t>Sum of di^2</t>
  </si>
  <si>
    <t>(As per Steel Tables )</t>
  </si>
  <si>
    <t>di</t>
  </si>
  <si>
    <t>Width of Flange</t>
  </si>
  <si>
    <t xml:space="preserve">Thickness of Flange </t>
  </si>
  <si>
    <t>V1</t>
  </si>
  <si>
    <t xml:space="preserve">Pitch Distance </t>
  </si>
  <si>
    <t>Angle at Extreme Bolt</t>
  </si>
  <si>
    <t>degreee</t>
  </si>
  <si>
    <t>Pitch Distance Prov</t>
  </si>
  <si>
    <t>V1 (hor)</t>
  </si>
  <si>
    <t>Edge Distance</t>
  </si>
  <si>
    <t>V1 (Ver)</t>
  </si>
  <si>
    <t>Edge Distance Prov</t>
  </si>
  <si>
    <t xml:space="preserve">Direct Shear in Each Bolt </t>
  </si>
  <si>
    <t>Design of Bolt</t>
  </si>
  <si>
    <t xml:space="preserve">Total Vertical Shear </t>
  </si>
  <si>
    <t>Strength of bolt in Single Shear:</t>
  </si>
  <si>
    <t>in net area</t>
  </si>
  <si>
    <t>Resultant Shear Strength</t>
  </si>
  <si>
    <t>Vnb</t>
  </si>
  <si>
    <t>Vsb</t>
  </si>
  <si>
    <t>Strength of bolt in Bearing :</t>
  </si>
  <si>
    <t>t</t>
  </si>
  <si>
    <t xml:space="preserve">load </t>
  </si>
  <si>
    <t>kb</t>
  </si>
  <si>
    <t>Grade of Bolt</t>
  </si>
  <si>
    <t>Vdpd</t>
  </si>
  <si>
    <t>DESIGN OF TYPE 2 BRACKET CONNECTION (BOLT)</t>
  </si>
  <si>
    <t>edge.</t>
  </si>
  <si>
    <t>pitch</t>
  </si>
  <si>
    <t>h (till centre of top most bolt)</t>
  </si>
  <si>
    <t>Line of rotation of NA</t>
  </si>
  <si>
    <t>Sum of yi</t>
  </si>
  <si>
    <t>sum of yi^2</t>
  </si>
  <si>
    <t>y(max)</t>
  </si>
  <si>
    <t>Tmax</t>
  </si>
  <si>
    <t>Shear Force in Each Bolt</t>
  </si>
  <si>
    <t>Interelation Check</t>
  </si>
  <si>
    <t>Tensile Strength Of Bolt</t>
  </si>
  <si>
    <t>Tdb</t>
  </si>
  <si>
    <t xml:space="preserve">DESIGN OF PILE </t>
  </si>
  <si>
    <t>Input Data</t>
  </si>
  <si>
    <t>lateral Reinforcement  in Body</t>
  </si>
  <si>
    <t>Length of the Pile below GL</t>
  </si>
  <si>
    <t>Volume needed per mm length</t>
  </si>
  <si>
    <t>cumm</t>
  </si>
  <si>
    <t>Length of the Pile above GL</t>
  </si>
  <si>
    <t>Total Length</t>
  </si>
  <si>
    <t>total Length of one tie</t>
  </si>
  <si>
    <t xml:space="preserve">Size of Pile </t>
  </si>
  <si>
    <t>Length of each Side</t>
  </si>
  <si>
    <t>(square)</t>
  </si>
  <si>
    <t>Area of bar</t>
  </si>
  <si>
    <t>load Pa</t>
  </si>
  <si>
    <t>Kn</t>
  </si>
  <si>
    <t>volume of each tie</t>
  </si>
  <si>
    <t xml:space="preserve">Grade Of Concrete </t>
  </si>
  <si>
    <t xml:space="preserve">pitch </t>
  </si>
  <si>
    <t>Dia Provided for Bar @ Longintudinal</t>
  </si>
  <si>
    <t>Provide Reft with the pitch of</t>
  </si>
  <si>
    <t>Dia of bar @ lateral</t>
  </si>
  <si>
    <t xml:space="preserve">Nominal Cover </t>
  </si>
  <si>
    <t>Lateral Reinforcement Near the Pile Head</t>
  </si>
  <si>
    <t>(Spiral)</t>
  </si>
  <si>
    <t>let Permissible stress in C.C</t>
  </si>
  <si>
    <t>3D</t>
  </si>
  <si>
    <t>Permissible compressive Stress for Column Bars</t>
  </si>
  <si>
    <t>Volume of Spiral</t>
  </si>
  <si>
    <t>Cumm</t>
  </si>
  <si>
    <t>using dia</t>
  </si>
  <si>
    <t>Load Calc</t>
  </si>
  <si>
    <t>L/d Ratio</t>
  </si>
  <si>
    <t>Circumference</t>
  </si>
  <si>
    <t>Volume of Each tie</t>
  </si>
  <si>
    <t>Cr</t>
  </si>
  <si>
    <t xml:space="preserve">Design load for short column </t>
  </si>
  <si>
    <t>Lateral Reinforcement Near the Pile End</t>
  </si>
  <si>
    <t xml:space="preserve">Longitudinal Reft </t>
  </si>
  <si>
    <t xml:space="preserve">0.6% Volume of Gross Volume </t>
  </si>
  <si>
    <t>Load carrying Capacity of Column :P</t>
  </si>
  <si>
    <t>Volume of each tie</t>
  </si>
  <si>
    <t>Area of pile</t>
  </si>
  <si>
    <t>Pitch (or) Spacing</t>
  </si>
  <si>
    <t>Check for Reft</t>
  </si>
  <si>
    <t>Provision of Spacer Forks &amp; Links</t>
  </si>
  <si>
    <t>Minimum Longitudinal Reft@0.8%</t>
  </si>
  <si>
    <t>provide 12mm or 16 mm dia of bar</t>
  </si>
  <si>
    <t>Area of Bar</t>
  </si>
  <si>
    <t>no of bars</t>
  </si>
  <si>
    <t>Provided Reft</t>
  </si>
  <si>
    <t>development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</si>
</sst>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
    <numFmt numFmtId="166" formatCode="0.000"/>
  </numFmts>
  <fonts count="18" x14ac:knownFonts="1">
    <font>
      <sz val="11"/>
      <color theme="1"/>
      <name val="Aptos Narrow"/>
      <family val="2"/>
      <scheme val="minor"/>
    </font>
    <font>
      <sz val="11"/>
      <color theme="1"/>
      <name val="Aptos Narrow"/>
      <family val="2"/>
      <scheme val="minor"/>
    </font>
    <font>
      <sz val="11"/>
      <color rgb="FF9C0006"/>
      <name val="Aptos Narrow"/>
      <family val="2"/>
      <scheme val="minor"/>
    </font>
    <font>
      <b/>
      <sz val="11"/>
      <color theme="1"/>
      <name val="Aptos Narrow"/>
      <family val="2"/>
      <scheme val="minor"/>
    </font>
    <font>
      <sz val="11"/>
      <color theme="1"/>
      <name val="Calibri"/>
      <family val="2"/>
    </font>
    <font>
      <sz val="11"/>
      <color theme="1"/>
      <name val="Times New Roman"/>
      <family val="1"/>
    </font>
    <font>
      <b/>
      <sz val="12"/>
      <color theme="1"/>
      <name val="Times New Roman"/>
      <family val="1"/>
    </font>
    <font>
      <b/>
      <sz val="11"/>
      <color theme="1"/>
      <name val="Times New Roman"/>
      <family val="1"/>
    </font>
    <font>
      <b/>
      <sz val="10"/>
      <color theme="1"/>
      <name val="Times New Roman"/>
      <family val="1"/>
    </font>
    <font>
      <b/>
      <i/>
      <sz val="11"/>
      <color theme="1"/>
      <name val="Times New Roman"/>
      <family val="1"/>
    </font>
    <font>
      <b/>
      <i/>
      <u/>
      <sz val="13"/>
      <color theme="0"/>
      <name val="Times New Roman"/>
      <family val="1"/>
    </font>
    <font>
      <b/>
      <i/>
      <sz val="12"/>
      <color theme="1"/>
      <name val="Times New Roman"/>
      <family val="1"/>
    </font>
    <font>
      <sz val="12"/>
      <color theme="1"/>
      <name val="Aptos Narrow"/>
      <family val="2"/>
      <scheme val="minor"/>
    </font>
    <font>
      <u/>
      <sz val="11"/>
      <color theme="10"/>
      <name val="Aptos Narrow"/>
      <family val="2"/>
      <scheme val="minor"/>
    </font>
    <font>
      <b/>
      <i/>
      <u/>
      <sz val="11"/>
      <color theme="10"/>
      <name val="Times New Roman"/>
      <family val="1"/>
    </font>
    <font>
      <b/>
      <sz val="14"/>
      <color theme="1"/>
      <name val="Times New Roman"/>
      <family val="1"/>
    </font>
    <font>
      <sz val="14"/>
      <color theme="1"/>
      <name val="Aptos Narrow"/>
      <family val="2"/>
      <scheme val="minor"/>
    </font>
    <font>
      <b/>
      <i/>
      <sz val="14"/>
      <color theme="1"/>
      <name val="Aptos Narrow"/>
      <family val="2"/>
      <scheme val="minor"/>
    </font>
  </fonts>
  <fills count="29">
    <fill>
      <patternFill patternType="none"/>
    </fill>
    <fill>
      <patternFill patternType="gray125"/>
    </fill>
    <fill>
      <patternFill patternType="solid">
        <fgColor rgb="FFFFC7CE"/>
      </patternFill>
    </fill>
    <fill>
      <patternFill patternType="solid">
        <fgColor rgb="FFFFFF00"/>
        <bgColor indexed="64"/>
      </patternFill>
    </fill>
    <fill>
      <patternFill patternType="solid">
        <fgColor rgb="FF9966FF"/>
        <bgColor indexed="64"/>
      </patternFill>
    </fill>
    <fill>
      <patternFill patternType="solid">
        <fgColor theme="5"/>
        <bgColor indexed="64"/>
      </patternFill>
    </fill>
    <fill>
      <patternFill patternType="solid">
        <fgColor theme="8" tint="0.39997558519241921"/>
        <bgColor indexed="64"/>
      </patternFill>
    </fill>
    <fill>
      <patternFill patternType="solid">
        <fgColor rgb="FF00FF00"/>
        <bgColor indexed="64"/>
      </patternFill>
    </fill>
    <fill>
      <patternFill patternType="solid">
        <fgColor rgb="FFCCECFF"/>
        <bgColor indexed="64"/>
      </patternFill>
    </fill>
    <fill>
      <patternFill patternType="solid">
        <fgColor rgb="FF00FFFF"/>
        <bgColor indexed="64"/>
      </patternFill>
    </fill>
    <fill>
      <patternFill patternType="solid">
        <fgColor rgb="FF92D050"/>
        <bgColor indexed="64"/>
      </patternFill>
    </fill>
    <fill>
      <patternFill patternType="solid">
        <fgColor rgb="FFFF66FF"/>
        <bgColor indexed="64"/>
      </patternFill>
    </fill>
    <fill>
      <patternFill patternType="solid">
        <fgColor rgb="FF009999"/>
        <bgColor indexed="64"/>
      </patternFill>
    </fill>
    <fill>
      <patternFill patternType="solid">
        <fgColor rgb="FFFFCC99"/>
        <bgColor indexed="64"/>
      </patternFill>
    </fill>
    <fill>
      <patternFill patternType="solid">
        <fgColor rgb="FFFFFF66"/>
        <bgColor indexed="64"/>
      </patternFill>
    </fill>
    <fill>
      <patternFill patternType="solid">
        <fgColor rgb="FFFFFF99"/>
        <bgColor indexed="64"/>
      </patternFill>
    </fill>
    <fill>
      <patternFill patternType="solid">
        <fgColor theme="4" tint="0.59999389629810485"/>
        <bgColor indexed="64"/>
      </patternFill>
    </fill>
    <fill>
      <patternFill patternType="solid">
        <fgColor theme="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6"/>
        <bgColor indexed="64"/>
      </patternFill>
    </fill>
    <fill>
      <patternFill patternType="solid">
        <fgColor theme="1"/>
        <bgColor indexed="64"/>
      </patternFill>
    </fill>
    <fill>
      <patternFill patternType="solid">
        <fgColor rgb="FFFF0000"/>
        <bgColor indexed="64"/>
      </patternFill>
    </fill>
    <fill>
      <patternFill patternType="solid">
        <fgColor rgb="FF00B05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39997558519241921"/>
        <bgColor indexed="64"/>
      </patternFill>
    </fill>
  </fills>
  <borders count="37">
    <border>
      <left/>
      <right/>
      <top/>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s>
  <cellStyleXfs count="4">
    <xf numFmtId="0" fontId="0" fillId="0" borderId="0"/>
    <xf numFmtId="9" fontId="1" fillId="0" borderId="0" applyFont="0" applyFill="0" applyBorder="0" applyAlignment="0" applyProtection="0"/>
    <xf numFmtId="0" fontId="2" fillId="2" borderId="0" applyNumberFormat="0" applyBorder="0" applyAlignment="0" applyProtection="0"/>
    <xf numFmtId="0" fontId="13" fillId="0" borderId="0" applyNumberFormat="0" applyFill="0" applyBorder="0" applyAlignment="0" applyProtection="0"/>
  </cellStyleXfs>
  <cellXfs count="238">
    <xf numFmtId="0" fontId="0" fillId="0" borderId="0" xfId="0"/>
    <xf numFmtId="0" fontId="0" fillId="3" borderId="1" xfId="0" applyFill="1" applyBorder="1" applyAlignment="1">
      <alignment horizontal="left"/>
    </xf>
    <xf numFmtId="0" fontId="0" fillId="0" borderId="2" xfId="0" applyBorder="1"/>
    <xf numFmtId="0" fontId="0" fillId="0" borderId="6" xfId="0" applyBorder="1" applyAlignment="1">
      <alignment horizontal="center"/>
    </xf>
    <xf numFmtId="0" fontId="0" fillId="0" borderId="7" xfId="0" applyBorder="1" applyAlignment="1">
      <alignment horizontal="right"/>
    </xf>
    <xf numFmtId="0" fontId="0" fillId="3" borderId="6" xfId="0" applyFill="1" applyBorder="1"/>
    <xf numFmtId="0" fontId="0" fillId="3" borderId="0" xfId="0" applyFill="1" applyAlignment="1">
      <alignment horizontal="center"/>
    </xf>
    <xf numFmtId="0" fontId="0" fillId="3" borderId="0" xfId="0" applyFill="1"/>
    <xf numFmtId="0" fontId="0" fillId="0" borderId="8" xfId="0" applyBorder="1"/>
    <xf numFmtId="0" fontId="0" fillId="0" borderId="6" xfId="0" applyBorder="1"/>
    <xf numFmtId="0" fontId="0" fillId="0" borderId="0" xfId="0" applyAlignment="1">
      <alignment horizontal="center"/>
    </xf>
    <xf numFmtId="0" fontId="0" fillId="0" borderId="0" xfId="0" applyAlignment="1">
      <alignment horizontal="right"/>
    </xf>
    <xf numFmtId="0" fontId="0" fillId="0" borderId="7" xfId="0" applyBorder="1"/>
    <xf numFmtId="0" fontId="0" fillId="0" borderId="9" xfId="0" applyBorder="1" applyAlignment="1">
      <alignment horizontal="center"/>
    </xf>
    <xf numFmtId="0" fontId="0" fillId="0" borderId="10" xfId="0" applyBorder="1"/>
    <xf numFmtId="0" fontId="0" fillId="0" borderId="11" xfId="0" applyBorder="1" applyAlignment="1">
      <alignment horizontal="right"/>
    </xf>
    <xf numFmtId="0" fontId="0" fillId="0" borderId="9" xfId="0" applyBorder="1"/>
    <xf numFmtId="0" fontId="0" fillId="0" borderId="11" xfId="0" applyBorder="1"/>
    <xf numFmtId="0" fontId="0" fillId="4" borderId="12" xfId="0" applyFill="1" applyBorder="1" applyAlignment="1">
      <alignment horizontal="left"/>
    </xf>
    <xf numFmtId="0" fontId="0" fillId="0" borderId="12" xfId="0" applyBorder="1"/>
    <xf numFmtId="0" fontId="0" fillId="4" borderId="6" xfId="0" applyFill="1" applyBorder="1"/>
    <xf numFmtId="0" fontId="0" fillId="4" borderId="0" xfId="0" applyFill="1" applyAlignment="1">
      <alignment horizontal="center"/>
    </xf>
    <xf numFmtId="0" fontId="0" fillId="4" borderId="0" xfId="0" applyFill="1"/>
    <xf numFmtId="164" fontId="0" fillId="0" borderId="10" xfId="0" applyNumberFormat="1" applyBorder="1"/>
    <xf numFmtId="0" fontId="0" fillId="0" borderId="10" xfId="0" applyBorder="1" applyAlignment="1">
      <alignment horizontal="center"/>
    </xf>
    <xf numFmtId="0" fontId="0" fillId="0" borderId="10" xfId="0" applyBorder="1" applyAlignment="1">
      <alignment horizontal="right"/>
    </xf>
    <xf numFmtId="0" fontId="0" fillId="5" borderId="12" xfId="0" applyFill="1" applyBorder="1" applyAlignment="1">
      <alignment horizontal="left"/>
    </xf>
    <xf numFmtId="0" fontId="0" fillId="6" borderId="12" xfId="0" applyFill="1" applyBorder="1" applyAlignment="1">
      <alignment horizontal="right"/>
    </xf>
    <xf numFmtId="0" fontId="0" fillId="6" borderId="2" xfId="0" applyFill="1" applyBorder="1"/>
    <xf numFmtId="0" fontId="4" fillId="0" borderId="0" xfId="0" applyFont="1" applyAlignment="1">
      <alignment horizontal="center"/>
    </xf>
    <xf numFmtId="0" fontId="0" fillId="7" borderId="9" xfId="0" applyFill="1" applyBorder="1"/>
    <xf numFmtId="0" fontId="0" fillId="7" borderId="10" xfId="0" applyFill="1" applyBorder="1"/>
    <xf numFmtId="0" fontId="0" fillId="8" borderId="12" xfId="0" applyFill="1" applyBorder="1"/>
    <xf numFmtId="0" fontId="0" fillId="9" borderId="12" xfId="0" applyFill="1" applyBorder="1" applyAlignment="1">
      <alignment horizontal="right"/>
    </xf>
    <xf numFmtId="0" fontId="0" fillId="9" borderId="2" xfId="0" applyFill="1" applyBorder="1"/>
    <xf numFmtId="0" fontId="4" fillId="0" borderId="6" xfId="0" applyFont="1" applyBorder="1" applyAlignment="1">
      <alignment horizontal="center"/>
    </xf>
    <xf numFmtId="0" fontId="0" fillId="0" borderId="0" xfId="1" applyNumberFormat="1" applyFont="1" applyBorder="1"/>
    <xf numFmtId="0" fontId="4" fillId="10" borderId="0" xfId="0" applyFont="1" applyFill="1"/>
    <xf numFmtId="0" fontId="4" fillId="7" borderId="9" xfId="0" applyFont="1" applyFill="1" applyBorder="1"/>
    <xf numFmtId="0" fontId="0" fillId="11" borderId="12" xfId="0" applyFill="1" applyBorder="1"/>
    <xf numFmtId="0" fontId="0" fillId="12" borderId="12" xfId="0" applyFill="1" applyBorder="1" applyAlignment="1">
      <alignment horizontal="right"/>
    </xf>
    <xf numFmtId="0" fontId="0" fillId="12" borderId="2" xfId="0" applyFill="1" applyBorder="1"/>
    <xf numFmtId="0" fontId="0" fillId="7" borderId="0" xfId="0" applyFill="1"/>
    <xf numFmtId="0" fontId="4" fillId="10" borderId="9" xfId="0" applyFont="1" applyFill="1" applyBorder="1"/>
    <xf numFmtId="0" fontId="0" fillId="13" borderId="12" xfId="0" applyFill="1" applyBorder="1"/>
    <xf numFmtId="0" fontId="0" fillId="14" borderId="13" xfId="0" applyFill="1" applyBorder="1" applyAlignment="1">
      <alignment horizontal="right"/>
    </xf>
    <xf numFmtId="0" fontId="0" fillId="14" borderId="14" xfId="0" applyFill="1" applyBorder="1"/>
    <xf numFmtId="0" fontId="0" fillId="14" borderId="15" xfId="0" applyFill="1" applyBorder="1"/>
    <xf numFmtId="0" fontId="0" fillId="0" borderId="16" xfId="0" applyBorder="1" applyAlignment="1">
      <alignment horizontal="center"/>
    </xf>
    <xf numFmtId="0" fontId="0" fillId="0" borderId="17" xfId="0" applyBorder="1"/>
    <xf numFmtId="0" fontId="0" fillId="0" borderId="18" xfId="0" applyBorder="1"/>
    <xf numFmtId="0" fontId="0" fillId="0" borderId="19" xfId="0" applyBorder="1" applyAlignment="1">
      <alignment horizontal="center"/>
    </xf>
    <xf numFmtId="0" fontId="0" fillId="0" borderId="20" xfId="0" applyBorder="1"/>
    <xf numFmtId="0" fontId="0" fillId="0" borderId="21" xfId="0" applyBorder="1"/>
    <xf numFmtId="0" fontId="5" fillId="0" borderId="0" xfId="0" applyFont="1"/>
    <xf numFmtId="0" fontId="6" fillId="15" borderId="0" xfId="0" applyFont="1" applyFill="1" applyAlignment="1">
      <alignment horizontal="center"/>
    </xf>
    <xf numFmtId="0" fontId="5" fillId="0" borderId="0" xfId="0" applyFont="1" applyAlignment="1">
      <alignment horizontal="center"/>
    </xf>
    <xf numFmtId="0" fontId="7" fillId="15" borderId="0" xfId="0" applyFont="1" applyFill="1" applyAlignment="1">
      <alignment horizontal="center"/>
    </xf>
    <xf numFmtId="0" fontId="7" fillId="0" borderId="0" xfId="0" applyFont="1"/>
    <xf numFmtId="0" fontId="5" fillId="0" borderId="6" xfId="0" applyFont="1" applyBorder="1" applyAlignment="1">
      <alignment horizontal="center"/>
    </xf>
    <xf numFmtId="2" fontId="5" fillId="0" borderId="7" xfId="0" applyNumberFormat="1" applyFont="1" applyBorder="1" applyAlignment="1">
      <alignment horizontal="center"/>
    </xf>
    <xf numFmtId="0" fontId="5" fillId="0" borderId="7" xfId="0" applyFont="1" applyBorder="1" applyAlignment="1">
      <alignment horizontal="center"/>
    </xf>
    <xf numFmtId="0" fontId="7" fillId="10" borderId="0" xfId="0" applyFont="1" applyFill="1" applyAlignment="1">
      <alignment horizontal="center"/>
    </xf>
    <xf numFmtId="0" fontId="8" fillId="16" borderId="0" xfId="0" applyFont="1" applyFill="1" applyAlignment="1">
      <alignment horizontal="center"/>
    </xf>
    <xf numFmtId="0" fontId="5" fillId="0" borderId="9" xfId="0" applyFont="1" applyBorder="1" applyAlignment="1">
      <alignment horizontal="center"/>
    </xf>
    <xf numFmtId="0" fontId="5" fillId="0" borderId="11" xfId="0" applyFont="1" applyBorder="1" applyAlignment="1">
      <alignment horizontal="center"/>
    </xf>
    <xf numFmtId="0" fontId="5" fillId="17" borderId="0" xfId="0" applyFont="1" applyFill="1" applyAlignment="1">
      <alignment horizontal="center"/>
    </xf>
    <xf numFmtId="0" fontId="7" fillId="0" borderId="0" xfId="0" applyFont="1" applyAlignment="1">
      <alignment horizontal="center"/>
    </xf>
    <xf numFmtId="0" fontId="5" fillId="17" borderId="0" xfId="0" applyFont="1" applyFill="1"/>
    <xf numFmtId="2" fontId="7" fillId="0" borderId="0" xfId="0" applyNumberFormat="1" applyFont="1"/>
    <xf numFmtId="2" fontId="5" fillId="0" borderId="0" xfId="0" applyNumberFormat="1" applyFont="1" applyAlignment="1">
      <alignment horizontal="center"/>
    </xf>
    <xf numFmtId="0" fontId="7" fillId="0" borderId="0" xfId="0" applyFont="1" applyAlignment="1">
      <alignment horizontal="left"/>
    </xf>
    <xf numFmtId="0" fontId="5" fillId="18" borderId="17" xfId="0" applyFont="1" applyFill="1" applyBorder="1"/>
    <xf numFmtId="0" fontId="5" fillId="0" borderId="17" xfId="0" applyFont="1" applyBorder="1"/>
    <xf numFmtId="2" fontId="5" fillId="0" borderId="17" xfId="0" applyNumberFormat="1" applyFont="1" applyBorder="1"/>
    <xf numFmtId="0" fontId="5" fillId="10" borderId="17" xfId="0" applyFont="1" applyFill="1" applyBorder="1"/>
    <xf numFmtId="0" fontId="9" fillId="0" borderId="17" xfId="0" applyFont="1" applyBorder="1"/>
    <xf numFmtId="165" fontId="5" fillId="0" borderId="17" xfId="0" applyNumberFormat="1" applyFont="1" applyBorder="1"/>
    <xf numFmtId="1" fontId="5" fillId="0" borderId="17" xfId="0" applyNumberFormat="1" applyFont="1" applyBorder="1"/>
    <xf numFmtId="0" fontId="7" fillId="0" borderId="17" xfId="0" applyFont="1" applyBorder="1"/>
    <xf numFmtId="0" fontId="5" fillId="0" borderId="0" xfId="0" applyFont="1" applyAlignment="1">
      <alignment horizontal="left"/>
    </xf>
    <xf numFmtId="0" fontId="5" fillId="18" borderId="22" xfId="0" applyFont="1" applyFill="1" applyBorder="1"/>
    <xf numFmtId="0" fontId="5" fillId="0" borderId="22" xfId="0" applyFont="1" applyBorder="1"/>
    <xf numFmtId="0" fontId="5" fillId="0" borderId="23" xfId="0" applyFont="1" applyBorder="1"/>
    <xf numFmtId="0" fontId="5" fillId="10" borderId="23" xfId="0" applyFont="1" applyFill="1" applyBorder="1"/>
    <xf numFmtId="0" fontId="5" fillId="0" borderId="24" xfId="0" applyFont="1" applyBorder="1"/>
    <xf numFmtId="0" fontId="5" fillId="19" borderId="22" xfId="0" applyFont="1" applyFill="1" applyBorder="1"/>
    <xf numFmtId="0" fontId="5" fillId="19" borderId="17" xfId="0" applyFont="1" applyFill="1" applyBorder="1"/>
    <xf numFmtId="166" fontId="5" fillId="0" borderId="17" xfId="0" applyNumberFormat="1" applyFont="1" applyBorder="1"/>
    <xf numFmtId="0" fontId="5" fillId="3" borderId="17" xfId="0" applyFont="1" applyFill="1" applyBorder="1"/>
    <xf numFmtId="0" fontId="5" fillId="20" borderId="17" xfId="0" applyFont="1" applyFill="1" applyBorder="1"/>
    <xf numFmtId="2" fontId="5" fillId="0" borderId="0" xfId="0" applyNumberFormat="1" applyFont="1"/>
    <xf numFmtId="0" fontId="5" fillId="0" borderId="0" xfId="0" applyFont="1" applyAlignment="1">
      <alignment horizontal="center" vertical="center"/>
    </xf>
    <xf numFmtId="0" fontId="7" fillId="18" borderId="17" xfId="0" applyFont="1" applyFill="1" applyBorder="1" applyAlignment="1">
      <alignment horizontal="center" vertical="center"/>
    </xf>
    <xf numFmtId="0" fontId="5" fillId="0" borderId="17" xfId="0" applyFont="1" applyBorder="1" applyAlignment="1">
      <alignment horizontal="center" vertical="center"/>
    </xf>
    <xf numFmtId="0" fontId="5" fillId="0" borderId="24" xfId="0" applyFont="1" applyBorder="1" applyAlignment="1">
      <alignment horizontal="center" vertical="center"/>
    </xf>
    <xf numFmtId="0" fontId="7" fillId="0" borderId="17" xfId="0" applyFont="1" applyBorder="1" applyAlignment="1">
      <alignment horizontal="center" vertical="center"/>
    </xf>
    <xf numFmtId="0" fontId="7" fillId="10" borderId="17" xfId="0" applyFont="1" applyFill="1" applyBorder="1" applyAlignment="1">
      <alignment horizontal="center" vertical="center"/>
    </xf>
    <xf numFmtId="0" fontId="7" fillId="0" borderId="24" xfId="0" applyFont="1" applyBorder="1" applyAlignment="1">
      <alignment horizontal="center" vertical="center"/>
    </xf>
    <xf numFmtId="0" fontId="5" fillId="18" borderId="17" xfId="0" applyFont="1" applyFill="1" applyBorder="1" applyAlignment="1">
      <alignment horizontal="center" vertical="center"/>
    </xf>
    <xf numFmtId="0" fontId="7" fillId="0" borderId="0" xfId="0" applyFont="1" applyAlignment="1">
      <alignment horizontal="center" vertical="center"/>
    </xf>
    <xf numFmtId="0" fontId="11" fillId="0" borderId="17" xfId="0" applyFont="1" applyBorder="1" applyAlignment="1">
      <alignment horizontal="center" vertical="center"/>
    </xf>
    <xf numFmtId="0" fontId="12" fillId="0" borderId="0" xfId="0" applyFont="1"/>
    <xf numFmtId="0" fontId="12" fillId="3" borderId="17" xfId="0" applyFont="1" applyFill="1" applyBorder="1"/>
    <xf numFmtId="0" fontId="12" fillId="0" borderId="17" xfId="0" applyFont="1" applyBorder="1"/>
    <xf numFmtId="0" fontId="12" fillId="10" borderId="25" xfId="0" applyFont="1" applyFill="1" applyBorder="1"/>
    <xf numFmtId="0" fontId="12" fillId="10" borderId="0" xfId="0" applyFont="1" applyFill="1"/>
    <xf numFmtId="0" fontId="12" fillId="10" borderId="26" xfId="0" applyFont="1" applyFill="1" applyBorder="1"/>
    <xf numFmtId="0" fontId="12" fillId="10" borderId="27" xfId="0" applyFont="1" applyFill="1" applyBorder="1"/>
    <xf numFmtId="0" fontId="12" fillId="10" borderId="28" xfId="0" applyFont="1" applyFill="1" applyBorder="1"/>
    <xf numFmtId="0" fontId="12" fillId="10" borderId="29" xfId="0" applyFont="1" applyFill="1" applyBorder="1"/>
    <xf numFmtId="0" fontId="12" fillId="22" borderId="27" xfId="0" applyFont="1" applyFill="1" applyBorder="1"/>
    <xf numFmtId="0" fontId="12" fillId="10" borderId="3" xfId="0" applyFont="1" applyFill="1" applyBorder="1"/>
    <xf numFmtId="0" fontId="12" fillId="10" borderId="4" xfId="0" applyFont="1" applyFill="1" applyBorder="1"/>
    <xf numFmtId="0" fontId="12" fillId="10" borderId="5" xfId="0" applyFont="1" applyFill="1" applyBorder="1"/>
    <xf numFmtId="0" fontId="12" fillId="3" borderId="0" xfId="0" applyFont="1" applyFill="1"/>
    <xf numFmtId="0" fontId="12" fillId="22" borderId="30" xfId="0" applyFont="1" applyFill="1" applyBorder="1"/>
    <xf numFmtId="0" fontId="12" fillId="22" borderId="32" xfId="0" applyFont="1" applyFill="1" applyBorder="1"/>
    <xf numFmtId="0" fontId="12" fillId="22" borderId="31" xfId="0" applyFont="1" applyFill="1" applyBorder="1"/>
    <xf numFmtId="0" fontId="12" fillId="10" borderId="17" xfId="0" applyFont="1" applyFill="1" applyBorder="1"/>
    <xf numFmtId="0" fontId="12" fillId="23" borderId="25" xfId="0" applyFont="1" applyFill="1" applyBorder="1"/>
    <xf numFmtId="0" fontId="12" fillId="23" borderId="0" xfId="0" applyFont="1" applyFill="1"/>
    <xf numFmtId="0" fontId="12" fillId="23" borderId="26" xfId="0" applyFont="1" applyFill="1" applyBorder="1"/>
    <xf numFmtId="0" fontId="12" fillId="0" borderId="25" xfId="0" applyFont="1" applyBorder="1"/>
    <xf numFmtId="0" fontId="12" fillId="0" borderId="26" xfId="0" applyFont="1" applyBorder="1"/>
    <xf numFmtId="0" fontId="12" fillId="0" borderId="22" xfId="0" applyFont="1" applyBorder="1"/>
    <xf numFmtId="0" fontId="12" fillId="23" borderId="29" xfId="0" applyFont="1" applyFill="1" applyBorder="1"/>
    <xf numFmtId="0" fontId="12" fillId="23" borderId="28" xfId="0" applyFont="1" applyFill="1" applyBorder="1"/>
    <xf numFmtId="0" fontId="12" fillId="0" borderId="27" xfId="0" applyFont="1" applyBorder="1"/>
    <xf numFmtId="0" fontId="12" fillId="0" borderId="29" xfId="0" applyFont="1" applyBorder="1"/>
    <xf numFmtId="0" fontId="12" fillId="0" borderId="28" xfId="0" applyFont="1" applyBorder="1"/>
    <xf numFmtId="0" fontId="12" fillId="3" borderId="3" xfId="0" applyFont="1" applyFill="1" applyBorder="1"/>
    <xf numFmtId="0" fontId="12" fillId="3" borderId="4" xfId="0" applyFont="1" applyFill="1" applyBorder="1"/>
    <xf numFmtId="0" fontId="12" fillId="3" borderId="5" xfId="0" applyFont="1" applyFill="1" applyBorder="1"/>
    <xf numFmtId="0" fontId="12" fillId="3" borderId="30" xfId="0" applyFont="1" applyFill="1" applyBorder="1"/>
    <xf numFmtId="0" fontId="12" fillId="0" borderId="32" xfId="0" applyFont="1" applyBorder="1"/>
    <xf numFmtId="0" fontId="12" fillId="0" borderId="31" xfId="0" applyFont="1" applyBorder="1"/>
    <xf numFmtId="0" fontId="12" fillId="3" borderId="25" xfId="0" applyFont="1" applyFill="1" applyBorder="1"/>
    <xf numFmtId="0" fontId="7" fillId="18" borderId="17" xfId="0" applyFont="1" applyFill="1" applyBorder="1"/>
    <xf numFmtId="0" fontId="9" fillId="19" borderId="17" xfId="0" applyFont="1" applyFill="1" applyBorder="1"/>
    <xf numFmtId="0" fontId="14" fillId="19" borderId="17" xfId="3" applyFont="1" applyFill="1" applyBorder="1" applyAlignment="1" applyProtection="1"/>
    <xf numFmtId="0" fontId="11" fillId="0" borderId="17" xfId="0" applyFont="1" applyBorder="1"/>
    <xf numFmtId="0" fontId="5" fillId="26" borderId="0" xfId="0" applyFont="1" applyFill="1" applyAlignment="1">
      <alignment horizontal="center"/>
    </xf>
    <xf numFmtId="0" fontId="5" fillId="17" borderId="12" xfId="0" applyFont="1" applyFill="1" applyBorder="1" applyAlignment="1">
      <alignment horizontal="center"/>
    </xf>
    <xf numFmtId="0" fontId="5" fillId="17" borderId="23" xfId="0" applyFont="1" applyFill="1" applyBorder="1" applyAlignment="1">
      <alignment horizontal="center"/>
    </xf>
    <xf numFmtId="0" fontId="5" fillId="17" borderId="6" xfId="0" applyFont="1" applyFill="1" applyBorder="1" applyAlignment="1">
      <alignment horizontal="center"/>
    </xf>
    <xf numFmtId="0" fontId="5" fillId="17" borderId="34" xfId="0" applyFont="1" applyFill="1" applyBorder="1" applyAlignment="1">
      <alignment horizontal="center"/>
    </xf>
    <xf numFmtId="166" fontId="5" fillId="17" borderId="34" xfId="0" applyNumberFormat="1" applyFont="1" applyFill="1" applyBorder="1" applyAlignment="1">
      <alignment horizontal="center"/>
    </xf>
    <xf numFmtId="165" fontId="5" fillId="17" borderId="34" xfId="0" applyNumberFormat="1" applyFont="1" applyFill="1" applyBorder="1" applyAlignment="1">
      <alignment horizontal="center"/>
    </xf>
    <xf numFmtId="0" fontId="5" fillId="17" borderId="9" xfId="0" applyFont="1" applyFill="1" applyBorder="1" applyAlignment="1">
      <alignment horizontal="center"/>
    </xf>
    <xf numFmtId="0" fontId="5" fillId="17" borderId="35" xfId="0" applyFont="1" applyFill="1" applyBorder="1" applyAlignment="1">
      <alignment horizontal="center"/>
    </xf>
    <xf numFmtId="0" fontId="6" fillId="10" borderId="0" xfId="0" applyFont="1" applyFill="1" applyAlignment="1">
      <alignment horizontal="center"/>
    </xf>
    <xf numFmtId="0" fontId="5" fillId="18" borderId="0" xfId="0" applyFont="1" applyFill="1" applyAlignment="1">
      <alignment horizontal="center" vertical="center"/>
    </xf>
    <xf numFmtId="0" fontId="5" fillId="10" borderId="0" xfId="0" applyFont="1" applyFill="1" applyAlignment="1">
      <alignment horizontal="center" vertical="center"/>
    </xf>
    <xf numFmtId="166" fontId="5" fillId="0" borderId="0" xfId="0" applyNumberFormat="1" applyFont="1" applyAlignment="1">
      <alignment horizontal="center" vertical="center"/>
    </xf>
    <xf numFmtId="0" fontId="5" fillId="0" borderId="0" xfId="0" applyFont="1" applyAlignment="1">
      <alignment vertical="center"/>
    </xf>
    <xf numFmtId="0" fontId="5" fillId="0" borderId="26" xfId="0" applyFont="1" applyBorder="1" applyAlignment="1">
      <alignment horizontal="center" vertical="center"/>
    </xf>
    <xf numFmtId="0" fontId="5" fillId="0" borderId="25" xfId="0" applyFont="1" applyBorder="1" applyAlignment="1">
      <alignment horizontal="center" vertical="center"/>
    </xf>
    <xf numFmtId="0" fontId="5" fillId="0" borderId="0" xfId="0" applyFont="1" applyAlignment="1">
      <alignment horizontal="left" vertical="center"/>
    </xf>
    <xf numFmtId="0" fontId="9" fillId="0" borderId="30" xfId="0" applyFont="1" applyBorder="1" applyAlignment="1">
      <alignment horizontal="center" vertical="center"/>
    </xf>
    <xf numFmtId="0" fontId="9" fillId="0" borderId="32" xfId="0" applyFont="1" applyBorder="1" applyAlignment="1">
      <alignment horizontal="center" vertical="center"/>
    </xf>
    <xf numFmtId="0" fontId="9" fillId="0" borderId="31" xfId="0" applyFont="1" applyBorder="1" applyAlignment="1">
      <alignment horizontal="center" vertical="center"/>
    </xf>
    <xf numFmtId="0" fontId="9" fillId="0" borderId="25" xfId="0" applyFont="1" applyBorder="1" applyAlignment="1">
      <alignment horizontal="center" vertical="center"/>
    </xf>
    <xf numFmtId="0" fontId="9" fillId="0" borderId="0" xfId="0" applyFont="1" applyAlignment="1">
      <alignment horizontal="center" vertical="center"/>
    </xf>
    <xf numFmtId="0" fontId="9" fillId="0" borderId="26" xfId="0" applyFont="1" applyBorder="1" applyAlignment="1">
      <alignment horizontal="center" vertical="center"/>
    </xf>
    <xf numFmtId="0" fontId="5" fillId="0" borderId="27" xfId="0" applyFont="1" applyBorder="1" applyAlignment="1">
      <alignment horizontal="center" vertical="center"/>
    </xf>
    <xf numFmtId="0" fontId="5" fillId="0" borderId="29" xfId="0" applyFont="1" applyBorder="1" applyAlignment="1">
      <alignment horizontal="center" vertical="center"/>
    </xf>
    <xf numFmtId="0" fontId="9" fillId="0" borderId="36" xfId="0" applyFont="1" applyBorder="1" applyAlignment="1">
      <alignment horizontal="center" vertical="center"/>
    </xf>
    <xf numFmtId="0" fontId="9" fillId="0" borderId="29" xfId="0" applyFont="1" applyBorder="1" applyAlignment="1">
      <alignment horizontal="center" vertical="center"/>
    </xf>
    <xf numFmtId="0" fontId="9" fillId="0" borderId="28" xfId="0" applyFont="1" applyBorder="1" applyAlignment="1">
      <alignment horizontal="center" vertical="center"/>
    </xf>
    <xf numFmtId="0" fontId="5" fillId="0" borderId="28" xfId="0" applyFont="1" applyBorder="1" applyAlignment="1">
      <alignment horizontal="center" vertical="center"/>
    </xf>
    <xf numFmtId="0" fontId="7" fillId="0" borderId="0" xfId="0" applyFont="1" applyAlignment="1">
      <alignment vertical="center"/>
    </xf>
    <xf numFmtId="0" fontId="7" fillId="18" borderId="16" xfId="0" applyFont="1" applyFill="1" applyBorder="1" applyAlignment="1">
      <alignment horizontal="center" vertical="center"/>
    </xf>
    <xf numFmtId="0" fontId="5" fillId="27" borderId="16" xfId="0" applyFont="1" applyFill="1" applyBorder="1" applyAlignment="1">
      <alignment horizontal="center" vertical="center"/>
    </xf>
    <xf numFmtId="0" fontId="5" fillId="27" borderId="17" xfId="0" applyFont="1" applyFill="1" applyBorder="1" applyAlignment="1">
      <alignment horizontal="center" vertical="center"/>
    </xf>
    <xf numFmtId="0" fontId="5" fillId="0" borderId="16" xfId="0" applyFont="1" applyBorder="1" applyAlignment="1">
      <alignment horizontal="center" vertical="center"/>
    </xf>
    <xf numFmtId="0" fontId="5" fillId="10" borderId="17" xfId="0" applyFont="1" applyFill="1" applyBorder="1" applyAlignment="1">
      <alignment horizontal="center" vertical="center"/>
    </xf>
    <xf numFmtId="0" fontId="5" fillId="18" borderId="16" xfId="0" applyFont="1" applyFill="1" applyBorder="1" applyAlignment="1">
      <alignment horizontal="center"/>
    </xf>
    <xf numFmtId="0" fontId="5" fillId="0" borderId="17" xfId="0" applyFont="1" applyBorder="1" applyAlignment="1">
      <alignment horizontal="center"/>
    </xf>
    <xf numFmtId="0" fontId="5" fillId="18" borderId="17" xfId="0" applyFont="1" applyFill="1" applyBorder="1" applyAlignment="1">
      <alignment horizontal="center"/>
    </xf>
    <xf numFmtId="0" fontId="5" fillId="0" borderId="26" xfId="0" applyFont="1" applyBorder="1" applyAlignment="1">
      <alignment horizontal="center"/>
    </xf>
    <xf numFmtId="0" fontId="5" fillId="0" borderId="16" xfId="0" applyFont="1" applyBorder="1" applyAlignment="1">
      <alignment horizontal="center"/>
    </xf>
    <xf numFmtId="0" fontId="5" fillId="0" borderId="24" xfId="0" applyFont="1" applyBorder="1" applyAlignment="1">
      <alignment horizontal="center"/>
    </xf>
    <xf numFmtId="0" fontId="5" fillId="10" borderId="16" xfId="0" applyFont="1" applyFill="1" applyBorder="1" applyAlignment="1">
      <alignment horizontal="center"/>
    </xf>
    <xf numFmtId="0" fontId="5" fillId="0" borderId="25" xfId="0" applyFont="1" applyBorder="1" applyAlignment="1">
      <alignment horizontal="center"/>
    </xf>
    <xf numFmtId="0" fontId="5" fillId="0" borderId="27" xfId="0" applyFont="1" applyBorder="1" applyAlignment="1">
      <alignment horizontal="center"/>
    </xf>
    <xf numFmtId="0" fontId="5" fillId="0" borderId="29" xfId="0" applyFont="1" applyBorder="1" applyAlignment="1">
      <alignment horizontal="center"/>
    </xf>
    <xf numFmtId="0" fontId="5" fillId="0" borderId="28" xfId="0" applyFont="1" applyBorder="1" applyAlignment="1">
      <alignment horizontal="center"/>
    </xf>
    <xf numFmtId="0" fontId="3" fillId="2" borderId="3" xfId="2" applyFont="1" applyBorder="1" applyAlignment="1">
      <alignment horizontal="center"/>
    </xf>
    <xf numFmtId="0" fontId="2" fillId="2" borderId="4" xfId="2" applyBorder="1" applyAlignment="1">
      <alignment horizontal="center"/>
    </xf>
    <xf numFmtId="0" fontId="2" fillId="2" borderId="5" xfId="2" applyBorder="1" applyAlignment="1">
      <alignment horizontal="center"/>
    </xf>
    <xf numFmtId="0" fontId="7" fillId="0" borderId="12" xfId="0" applyFont="1" applyBorder="1" applyAlignment="1">
      <alignment horizontal="center"/>
    </xf>
    <xf numFmtId="0" fontId="7" fillId="0" borderId="8" xfId="0" applyFont="1" applyBorder="1" applyAlignment="1">
      <alignment horizontal="center"/>
    </xf>
    <xf numFmtId="0" fontId="5" fillId="16" borderId="0" xfId="0" applyFont="1" applyFill="1" applyAlignment="1">
      <alignment horizontal="center"/>
    </xf>
    <xf numFmtId="0" fontId="5" fillId="18" borderId="6" xfId="0" applyFont="1" applyFill="1" applyBorder="1" applyAlignment="1">
      <alignment horizontal="center"/>
    </xf>
    <xf numFmtId="0" fontId="5" fillId="18" borderId="0" xfId="0" applyFont="1" applyFill="1" applyAlignment="1">
      <alignment horizontal="center"/>
    </xf>
    <xf numFmtId="0" fontId="5" fillId="10" borderId="6" xfId="0" applyFont="1" applyFill="1" applyBorder="1" applyAlignment="1">
      <alignment horizontal="center"/>
    </xf>
    <xf numFmtId="0" fontId="5" fillId="10" borderId="0" xfId="0" applyFont="1" applyFill="1" applyAlignment="1">
      <alignment horizontal="center"/>
    </xf>
    <xf numFmtId="0" fontId="7" fillId="18" borderId="9" xfId="0" applyFont="1" applyFill="1" applyBorder="1" applyAlignment="1">
      <alignment horizontal="center"/>
    </xf>
    <xf numFmtId="0" fontId="7" fillId="18" borderId="10" xfId="0" applyFont="1" applyFill="1" applyBorder="1" applyAlignment="1">
      <alignment horizontal="center"/>
    </xf>
    <xf numFmtId="0" fontId="7" fillId="18" borderId="11" xfId="0" applyFont="1" applyFill="1" applyBorder="1" applyAlignment="1">
      <alignment horizontal="center"/>
    </xf>
    <xf numFmtId="0" fontId="10" fillId="21" borderId="17" xfId="0" applyFont="1" applyFill="1" applyBorder="1" applyAlignment="1">
      <alignment horizontal="center" vertical="center"/>
    </xf>
    <xf numFmtId="0" fontId="5" fillId="16" borderId="0" xfId="0" applyFont="1" applyFill="1" applyAlignment="1">
      <alignment horizontal="center" vertical="center"/>
    </xf>
    <xf numFmtId="0" fontId="7" fillId="18" borderId="17" xfId="0" applyFont="1" applyFill="1" applyBorder="1" applyAlignment="1">
      <alignment horizontal="center" vertical="center"/>
    </xf>
    <xf numFmtId="0" fontId="5" fillId="0" borderId="17" xfId="0" applyFont="1" applyBorder="1" applyAlignment="1">
      <alignment horizontal="center" vertical="center"/>
    </xf>
    <xf numFmtId="0" fontId="7" fillId="10" borderId="17" xfId="0" applyFont="1" applyFill="1" applyBorder="1" applyAlignment="1">
      <alignment horizontal="center" vertical="center"/>
    </xf>
    <xf numFmtId="0" fontId="5" fillId="18" borderId="17" xfId="0" applyFont="1" applyFill="1" applyBorder="1" applyAlignment="1">
      <alignment horizontal="center" vertical="center"/>
    </xf>
    <xf numFmtId="0" fontId="5" fillId="0" borderId="24" xfId="0" applyFont="1" applyBorder="1" applyAlignment="1">
      <alignment horizontal="center" vertical="center"/>
    </xf>
    <xf numFmtId="0" fontId="12" fillId="10" borderId="0" xfId="0" applyFont="1" applyFill="1" applyAlignment="1">
      <alignment horizontal="center"/>
    </xf>
    <xf numFmtId="0" fontId="12" fillId="22" borderId="30" xfId="0" applyFont="1" applyFill="1" applyBorder="1" applyAlignment="1">
      <alignment horizontal="center"/>
    </xf>
    <xf numFmtId="0" fontId="12" fillId="22" borderId="31" xfId="0" applyFont="1" applyFill="1" applyBorder="1" applyAlignment="1">
      <alignment horizontal="center"/>
    </xf>
    <xf numFmtId="0" fontId="12" fillId="22" borderId="27" xfId="0" applyFont="1" applyFill="1" applyBorder="1" applyAlignment="1">
      <alignment horizontal="center"/>
    </xf>
    <xf numFmtId="0" fontId="12" fillId="22" borderId="28" xfId="0" applyFont="1" applyFill="1" applyBorder="1" applyAlignment="1">
      <alignment horizontal="center"/>
    </xf>
    <xf numFmtId="0" fontId="7" fillId="24" borderId="24" xfId="0" applyFont="1" applyFill="1" applyBorder="1" applyAlignment="1">
      <alignment horizontal="center"/>
    </xf>
    <xf numFmtId="0" fontId="7" fillId="24" borderId="33" xfId="0" applyFont="1" applyFill="1" applyBorder="1" applyAlignment="1">
      <alignment horizontal="center"/>
    </xf>
    <xf numFmtId="0" fontId="7" fillId="24" borderId="22" xfId="0" applyFont="1" applyFill="1" applyBorder="1" applyAlignment="1">
      <alignment horizontal="center"/>
    </xf>
    <xf numFmtId="0" fontId="10" fillId="21" borderId="24" xfId="0" applyFont="1" applyFill="1" applyBorder="1" applyAlignment="1">
      <alignment horizontal="center"/>
    </xf>
    <xf numFmtId="0" fontId="10" fillId="21" borderId="33" xfId="0" applyFont="1" applyFill="1" applyBorder="1" applyAlignment="1">
      <alignment horizontal="center"/>
    </xf>
    <xf numFmtId="0" fontId="10" fillId="21" borderId="22" xfId="0" applyFont="1" applyFill="1" applyBorder="1" applyAlignment="1">
      <alignment horizontal="center"/>
    </xf>
    <xf numFmtId="0" fontId="5" fillId="26" borderId="0" xfId="0" applyFont="1" applyFill="1" applyAlignment="1">
      <alignment horizontal="center"/>
    </xf>
    <xf numFmtId="0" fontId="6" fillId="0" borderId="0" xfId="0" applyFont="1" applyAlignment="1">
      <alignment horizontal="center"/>
    </xf>
    <xf numFmtId="0" fontId="6" fillId="18" borderId="0" xfId="0" applyFont="1" applyFill="1" applyAlignment="1">
      <alignment horizontal="center"/>
    </xf>
    <xf numFmtId="0" fontId="7" fillId="18" borderId="0" xfId="0" applyFont="1" applyFill="1" applyAlignment="1">
      <alignment horizontal="center"/>
    </xf>
    <xf numFmtId="0" fontId="15" fillId="0" borderId="0" xfId="0" applyFont="1" applyAlignment="1">
      <alignment horizontal="center"/>
    </xf>
    <xf numFmtId="0" fontId="7" fillId="25" borderId="30" xfId="0" applyFont="1" applyFill="1" applyBorder="1" applyAlignment="1">
      <alignment horizontal="center" vertical="center"/>
    </xf>
    <xf numFmtId="0" fontId="7" fillId="25" borderId="32" xfId="0" applyFont="1" applyFill="1" applyBorder="1" applyAlignment="1">
      <alignment horizontal="center" vertical="center"/>
    </xf>
    <xf numFmtId="0" fontId="7" fillId="25" borderId="31" xfId="0" applyFont="1" applyFill="1" applyBorder="1" applyAlignment="1">
      <alignment horizontal="center" vertical="center"/>
    </xf>
    <xf numFmtId="0" fontId="7" fillId="25" borderId="13" xfId="0" applyFont="1" applyFill="1" applyBorder="1" applyAlignment="1">
      <alignment horizontal="center" vertical="center"/>
    </xf>
    <xf numFmtId="0" fontId="7" fillId="25" borderId="14" xfId="0" applyFont="1" applyFill="1" applyBorder="1" applyAlignment="1">
      <alignment horizontal="center" vertical="center"/>
    </xf>
    <xf numFmtId="0" fontId="7" fillId="25" borderId="15" xfId="0" applyFont="1" applyFill="1" applyBorder="1" applyAlignment="1">
      <alignment horizontal="center" vertical="center"/>
    </xf>
    <xf numFmtId="0" fontId="7" fillId="18" borderId="16" xfId="0" applyFont="1" applyFill="1" applyBorder="1" applyAlignment="1">
      <alignment horizontal="center" vertical="center"/>
    </xf>
    <xf numFmtId="0" fontId="5" fillId="6" borderId="30" xfId="0" applyFont="1" applyFill="1" applyBorder="1" applyAlignment="1">
      <alignment horizontal="center"/>
    </xf>
    <xf numFmtId="0" fontId="5" fillId="6" borderId="32" xfId="0" applyFont="1" applyFill="1" applyBorder="1" applyAlignment="1">
      <alignment horizontal="center"/>
    </xf>
    <xf numFmtId="0" fontId="5" fillId="6" borderId="31" xfId="0" applyFont="1" applyFill="1" applyBorder="1" applyAlignment="1">
      <alignment horizontal="center"/>
    </xf>
    <xf numFmtId="0" fontId="16" fillId="0" borderId="0" xfId="0" applyFont="1"/>
    <xf numFmtId="0" fontId="17" fillId="28" borderId="3" xfId="0" applyFont="1" applyFill="1" applyBorder="1" applyAlignment="1">
      <alignment horizontal="center"/>
    </xf>
    <xf numFmtId="0" fontId="17" fillId="28" borderId="4" xfId="0" applyFont="1" applyFill="1" applyBorder="1" applyAlignment="1">
      <alignment horizontal="center"/>
    </xf>
    <xf numFmtId="0" fontId="17" fillId="28" borderId="5" xfId="0" applyFont="1" applyFill="1" applyBorder="1" applyAlignment="1">
      <alignment horizontal="center"/>
    </xf>
  </cellXfs>
  <cellStyles count="4">
    <cellStyle name="Bad" xfId="2" builtinId="27"/>
    <cellStyle name="Hyperlink" xfId="3" builtinId="8"/>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504825</xdr:colOff>
      <xdr:row>78</xdr:row>
      <xdr:rowOff>209550</xdr:rowOff>
    </xdr:from>
    <xdr:to>
      <xdr:col>3</xdr:col>
      <xdr:colOff>104775</xdr:colOff>
      <xdr:row>87</xdr:row>
      <xdr:rowOff>133350</xdr:rowOff>
    </xdr:to>
    <xdr:sp macro="" textlink="">
      <xdr:nvSpPr>
        <xdr:cNvPr id="56" name="Rectangle 55">
          <a:extLst>
            <a:ext uri="{FF2B5EF4-FFF2-40B4-BE49-F238E27FC236}">
              <a16:creationId xmlns:a16="http://schemas.microsoft.com/office/drawing/2014/main" id="{503C2E40-208A-49E5-815C-443410695CF6}"/>
            </a:ext>
          </a:extLst>
        </xdr:cNvPr>
        <xdr:cNvSpPr/>
      </xdr:nvSpPr>
      <xdr:spPr>
        <a:xfrm>
          <a:off x="11426825" y="3937000"/>
          <a:ext cx="1212850" cy="21463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0</xdr:col>
      <xdr:colOff>1733550</xdr:colOff>
      <xdr:row>87</xdr:row>
      <xdr:rowOff>142875</xdr:rowOff>
    </xdr:from>
    <xdr:to>
      <xdr:col>5</xdr:col>
      <xdr:colOff>400050</xdr:colOff>
      <xdr:row>94</xdr:row>
      <xdr:rowOff>85725</xdr:rowOff>
    </xdr:to>
    <xdr:sp macro="" textlink="">
      <xdr:nvSpPr>
        <xdr:cNvPr id="57" name="Rectangle 56">
          <a:extLst>
            <a:ext uri="{FF2B5EF4-FFF2-40B4-BE49-F238E27FC236}">
              <a16:creationId xmlns:a16="http://schemas.microsoft.com/office/drawing/2014/main" id="{68747973-77DB-4603-A290-536033D21660}"/>
            </a:ext>
          </a:extLst>
        </xdr:cNvPr>
        <xdr:cNvSpPr/>
      </xdr:nvSpPr>
      <xdr:spPr>
        <a:xfrm>
          <a:off x="9829800" y="6092825"/>
          <a:ext cx="4324350" cy="16510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0</xdr:col>
      <xdr:colOff>1790700</xdr:colOff>
      <xdr:row>78</xdr:row>
      <xdr:rowOff>209550</xdr:rowOff>
    </xdr:from>
    <xdr:to>
      <xdr:col>5</xdr:col>
      <xdr:colOff>400050</xdr:colOff>
      <xdr:row>78</xdr:row>
      <xdr:rowOff>219075</xdr:rowOff>
    </xdr:to>
    <xdr:cxnSp macro="">
      <xdr:nvCxnSpPr>
        <xdr:cNvPr id="58" name="Straight Connector 57">
          <a:extLst>
            <a:ext uri="{FF2B5EF4-FFF2-40B4-BE49-F238E27FC236}">
              <a16:creationId xmlns:a16="http://schemas.microsoft.com/office/drawing/2014/main" id="{C4315D7E-552F-46CB-ACCF-09054F39151F}"/>
            </a:ext>
          </a:extLst>
        </xdr:cNvPr>
        <xdr:cNvCxnSpPr/>
      </xdr:nvCxnSpPr>
      <xdr:spPr>
        <a:xfrm>
          <a:off x="9886950" y="3937000"/>
          <a:ext cx="4267200" cy="952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675481</xdr:colOff>
      <xdr:row>80</xdr:row>
      <xdr:rowOff>48419</xdr:rowOff>
    </xdr:from>
    <xdr:to>
      <xdr:col>1</xdr:col>
      <xdr:colOff>677069</xdr:colOff>
      <xdr:row>89</xdr:row>
      <xdr:rowOff>124619</xdr:rowOff>
    </xdr:to>
    <xdr:cxnSp macro="">
      <xdr:nvCxnSpPr>
        <xdr:cNvPr id="59" name="Straight Connector 58">
          <a:extLst>
            <a:ext uri="{FF2B5EF4-FFF2-40B4-BE49-F238E27FC236}">
              <a16:creationId xmlns:a16="http://schemas.microsoft.com/office/drawing/2014/main" id="{72A34AAB-43F4-4094-BB15-27E445159E90}"/>
            </a:ext>
          </a:extLst>
        </xdr:cNvPr>
        <xdr:cNvCxnSpPr/>
      </xdr:nvCxnSpPr>
      <xdr:spPr>
        <a:xfrm rot="5400000">
          <a:off x="10448925" y="5394325"/>
          <a:ext cx="2298700" cy="1588"/>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504825</xdr:colOff>
      <xdr:row>80</xdr:row>
      <xdr:rowOff>104775</xdr:rowOff>
    </xdr:from>
    <xdr:to>
      <xdr:col>2</xdr:col>
      <xdr:colOff>523875</xdr:colOff>
      <xdr:row>89</xdr:row>
      <xdr:rowOff>85725</xdr:rowOff>
    </xdr:to>
    <xdr:cxnSp macro="">
      <xdr:nvCxnSpPr>
        <xdr:cNvPr id="60" name="Straight Connector 59">
          <a:extLst>
            <a:ext uri="{FF2B5EF4-FFF2-40B4-BE49-F238E27FC236}">
              <a16:creationId xmlns:a16="http://schemas.microsoft.com/office/drawing/2014/main" id="{58EE79CF-8947-4E51-809D-B27C2283CDED}"/>
            </a:ext>
          </a:extLst>
        </xdr:cNvPr>
        <xdr:cNvCxnSpPr/>
      </xdr:nvCxnSpPr>
      <xdr:spPr>
        <a:xfrm rot="16200000" flipH="1">
          <a:off x="11337925" y="5394325"/>
          <a:ext cx="2203450" cy="1905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2447925</xdr:colOff>
      <xdr:row>89</xdr:row>
      <xdr:rowOff>123824</xdr:rowOff>
    </xdr:from>
    <xdr:to>
      <xdr:col>1</xdr:col>
      <xdr:colOff>676277</xdr:colOff>
      <xdr:row>89</xdr:row>
      <xdr:rowOff>133350</xdr:rowOff>
    </xdr:to>
    <xdr:cxnSp macro="">
      <xdr:nvCxnSpPr>
        <xdr:cNvPr id="61" name="Straight Connector 60">
          <a:extLst>
            <a:ext uri="{FF2B5EF4-FFF2-40B4-BE49-F238E27FC236}">
              <a16:creationId xmlns:a16="http://schemas.microsoft.com/office/drawing/2014/main" id="{9145D27E-9D67-4275-A837-2E3C8278AE5E}"/>
            </a:ext>
          </a:extLst>
        </xdr:cNvPr>
        <xdr:cNvCxnSpPr/>
      </xdr:nvCxnSpPr>
      <xdr:spPr>
        <a:xfrm rot="10800000" flipV="1">
          <a:off x="10544175" y="6543674"/>
          <a:ext cx="1054102" cy="9526"/>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495300</xdr:colOff>
      <xdr:row>89</xdr:row>
      <xdr:rowOff>66675</xdr:rowOff>
    </xdr:from>
    <xdr:to>
      <xdr:col>4</xdr:col>
      <xdr:colOff>161925</xdr:colOff>
      <xdr:row>89</xdr:row>
      <xdr:rowOff>85725</xdr:rowOff>
    </xdr:to>
    <xdr:cxnSp macro="">
      <xdr:nvCxnSpPr>
        <xdr:cNvPr id="62" name="Straight Connector 61">
          <a:extLst>
            <a:ext uri="{FF2B5EF4-FFF2-40B4-BE49-F238E27FC236}">
              <a16:creationId xmlns:a16="http://schemas.microsoft.com/office/drawing/2014/main" id="{D13C1756-BDCE-473C-BB35-EE57E453D13C}"/>
            </a:ext>
          </a:extLst>
        </xdr:cNvPr>
        <xdr:cNvCxnSpPr/>
      </xdr:nvCxnSpPr>
      <xdr:spPr>
        <a:xfrm>
          <a:off x="12420600" y="6486525"/>
          <a:ext cx="885825" cy="1905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704850</xdr:colOff>
      <xdr:row>81</xdr:row>
      <xdr:rowOff>114300</xdr:rowOff>
    </xdr:from>
    <xdr:to>
      <xdr:col>2</xdr:col>
      <xdr:colOff>495300</xdr:colOff>
      <xdr:row>81</xdr:row>
      <xdr:rowOff>123825</xdr:rowOff>
    </xdr:to>
    <xdr:cxnSp macro="">
      <xdr:nvCxnSpPr>
        <xdr:cNvPr id="63" name="Straight Connector 62">
          <a:extLst>
            <a:ext uri="{FF2B5EF4-FFF2-40B4-BE49-F238E27FC236}">
              <a16:creationId xmlns:a16="http://schemas.microsoft.com/office/drawing/2014/main" id="{49006629-C4FE-4693-8C09-BAD30E123A5A}"/>
            </a:ext>
          </a:extLst>
        </xdr:cNvPr>
        <xdr:cNvCxnSpPr/>
      </xdr:nvCxnSpPr>
      <xdr:spPr>
        <a:xfrm flipV="1">
          <a:off x="11626850" y="4552950"/>
          <a:ext cx="793750" cy="952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666750</xdr:colOff>
      <xdr:row>83</xdr:row>
      <xdr:rowOff>28575</xdr:rowOff>
    </xdr:from>
    <xdr:to>
      <xdr:col>2</xdr:col>
      <xdr:colOff>476250</xdr:colOff>
      <xdr:row>83</xdr:row>
      <xdr:rowOff>38100</xdr:rowOff>
    </xdr:to>
    <xdr:cxnSp macro="">
      <xdr:nvCxnSpPr>
        <xdr:cNvPr id="64" name="Straight Connector 63">
          <a:extLst>
            <a:ext uri="{FF2B5EF4-FFF2-40B4-BE49-F238E27FC236}">
              <a16:creationId xmlns:a16="http://schemas.microsoft.com/office/drawing/2014/main" id="{3D008DD5-23AF-4564-8BF0-3C0FC26DCE6E}"/>
            </a:ext>
          </a:extLst>
        </xdr:cNvPr>
        <xdr:cNvCxnSpPr/>
      </xdr:nvCxnSpPr>
      <xdr:spPr>
        <a:xfrm flipV="1">
          <a:off x="11588750" y="5006975"/>
          <a:ext cx="812800" cy="952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676275</xdr:colOff>
      <xdr:row>84</xdr:row>
      <xdr:rowOff>123825</xdr:rowOff>
    </xdr:from>
    <xdr:to>
      <xdr:col>2</xdr:col>
      <xdr:colOff>504825</xdr:colOff>
      <xdr:row>84</xdr:row>
      <xdr:rowOff>125413</xdr:rowOff>
    </xdr:to>
    <xdr:cxnSp macro="">
      <xdr:nvCxnSpPr>
        <xdr:cNvPr id="65" name="Straight Connector 64">
          <a:extLst>
            <a:ext uri="{FF2B5EF4-FFF2-40B4-BE49-F238E27FC236}">
              <a16:creationId xmlns:a16="http://schemas.microsoft.com/office/drawing/2014/main" id="{D5A57870-35A7-4CCE-B6E4-185CE40E1337}"/>
            </a:ext>
          </a:extLst>
        </xdr:cNvPr>
        <xdr:cNvCxnSpPr/>
      </xdr:nvCxnSpPr>
      <xdr:spPr>
        <a:xfrm>
          <a:off x="11598275" y="5337175"/>
          <a:ext cx="831850" cy="1588"/>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685800</xdr:colOff>
      <xdr:row>86</xdr:row>
      <xdr:rowOff>38100</xdr:rowOff>
    </xdr:from>
    <xdr:to>
      <xdr:col>2</xdr:col>
      <xdr:colOff>542925</xdr:colOff>
      <xdr:row>86</xdr:row>
      <xdr:rowOff>47625</xdr:rowOff>
    </xdr:to>
    <xdr:cxnSp macro="">
      <xdr:nvCxnSpPr>
        <xdr:cNvPr id="66" name="Straight Connector 65">
          <a:extLst>
            <a:ext uri="{FF2B5EF4-FFF2-40B4-BE49-F238E27FC236}">
              <a16:creationId xmlns:a16="http://schemas.microsoft.com/office/drawing/2014/main" id="{EEDB748B-C6E0-4138-BF6D-1202705C3841}"/>
            </a:ext>
          </a:extLst>
        </xdr:cNvPr>
        <xdr:cNvCxnSpPr/>
      </xdr:nvCxnSpPr>
      <xdr:spPr>
        <a:xfrm>
          <a:off x="11607800" y="5753100"/>
          <a:ext cx="860425" cy="952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1943100</xdr:colOff>
      <xdr:row>92</xdr:row>
      <xdr:rowOff>114300</xdr:rowOff>
    </xdr:from>
    <xdr:to>
      <xdr:col>5</xdr:col>
      <xdr:colOff>57150</xdr:colOff>
      <xdr:row>92</xdr:row>
      <xdr:rowOff>152400</xdr:rowOff>
    </xdr:to>
    <xdr:cxnSp macro="">
      <xdr:nvCxnSpPr>
        <xdr:cNvPr id="67" name="Straight Connector 66">
          <a:extLst>
            <a:ext uri="{FF2B5EF4-FFF2-40B4-BE49-F238E27FC236}">
              <a16:creationId xmlns:a16="http://schemas.microsoft.com/office/drawing/2014/main" id="{2F60C69A-74D2-4B11-8BD1-4E67DD50D056}"/>
            </a:ext>
          </a:extLst>
        </xdr:cNvPr>
        <xdr:cNvCxnSpPr/>
      </xdr:nvCxnSpPr>
      <xdr:spPr>
        <a:xfrm>
          <a:off x="10039350" y="7302500"/>
          <a:ext cx="3771900" cy="381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2000255</xdr:colOff>
      <xdr:row>91</xdr:row>
      <xdr:rowOff>200025</xdr:rowOff>
    </xdr:from>
    <xdr:to>
      <xdr:col>0</xdr:col>
      <xdr:colOff>2009777</xdr:colOff>
      <xdr:row>92</xdr:row>
      <xdr:rowOff>123828</xdr:rowOff>
    </xdr:to>
    <xdr:cxnSp macro="">
      <xdr:nvCxnSpPr>
        <xdr:cNvPr id="68" name="Straight Connector 67">
          <a:extLst>
            <a:ext uri="{FF2B5EF4-FFF2-40B4-BE49-F238E27FC236}">
              <a16:creationId xmlns:a16="http://schemas.microsoft.com/office/drawing/2014/main" id="{C1BD2D1C-8521-4FD8-9AEB-1BD2397F3662}"/>
            </a:ext>
          </a:extLst>
        </xdr:cNvPr>
        <xdr:cNvCxnSpPr/>
      </xdr:nvCxnSpPr>
      <xdr:spPr>
        <a:xfrm rot="16200000" flipV="1">
          <a:off x="10006014" y="7212016"/>
          <a:ext cx="190503" cy="952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28573</xdr:colOff>
      <xdr:row>91</xdr:row>
      <xdr:rowOff>200026</xdr:rowOff>
    </xdr:from>
    <xdr:to>
      <xdr:col>5</xdr:col>
      <xdr:colOff>38102</xdr:colOff>
      <xdr:row>92</xdr:row>
      <xdr:rowOff>190502</xdr:rowOff>
    </xdr:to>
    <xdr:cxnSp macro="">
      <xdr:nvCxnSpPr>
        <xdr:cNvPr id="69" name="Straight Connector 68">
          <a:extLst>
            <a:ext uri="{FF2B5EF4-FFF2-40B4-BE49-F238E27FC236}">
              <a16:creationId xmlns:a16="http://schemas.microsoft.com/office/drawing/2014/main" id="{03B709DA-770C-4524-8BBF-0E7E381BE4FE}"/>
            </a:ext>
          </a:extLst>
        </xdr:cNvPr>
        <xdr:cNvCxnSpPr/>
      </xdr:nvCxnSpPr>
      <xdr:spPr>
        <a:xfrm rot="5400000" flipH="1" flipV="1">
          <a:off x="13658850" y="7245349"/>
          <a:ext cx="257176" cy="952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2124075</xdr:colOff>
      <xdr:row>91</xdr:row>
      <xdr:rowOff>200025</xdr:rowOff>
    </xdr:from>
    <xdr:to>
      <xdr:col>0</xdr:col>
      <xdr:colOff>2305050</xdr:colOff>
      <xdr:row>92</xdr:row>
      <xdr:rowOff>85724</xdr:rowOff>
    </xdr:to>
    <xdr:sp macro="" textlink="">
      <xdr:nvSpPr>
        <xdr:cNvPr id="70" name="Oval 69">
          <a:extLst>
            <a:ext uri="{FF2B5EF4-FFF2-40B4-BE49-F238E27FC236}">
              <a16:creationId xmlns:a16="http://schemas.microsoft.com/office/drawing/2014/main" id="{54083A6F-E1BC-4EC6-A28B-C0E025908618}"/>
            </a:ext>
          </a:extLst>
        </xdr:cNvPr>
        <xdr:cNvSpPr/>
      </xdr:nvSpPr>
      <xdr:spPr>
        <a:xfrm flipV="1">
          <a:off x="10220325" y="7121525"/>
          <a:ext cx="180975" cy="152399"/>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rtlCol="0" anchor="ctr"/>
        <a:lstStyle/>
        <a:p>
          <a:pPr algn="ctr"/>
          <a:endParaRPr lang="en-US" sz="1100"/>
        </a:p>
      </xdr:txBody>
    </xdr:sp>
    <xdr:clientData/>
  </xdr:twoCellAnchor>
  <xdr:twoCellAnchor>
    <xdr:from>
      <xdr:col>1</xdr:col>
      <xdr:colOff>352425</xdr:colOff>
      <xdr:row>91</xdr:row>
      <xdr:rowOff>200025</xdr:rowOff>
    </xdr:from>
    <xdr:to>
      <xdr:col>1</xdr:col>
      <xdr:colOff>533400</xdr:colOff>
      <xdr:row>92</xdr:row>
      <xdr:rowOff>85724</xdr:rowOff>
    </xdr:to>
    <xdr:sp macro="" textlink="">
      <xdr:nvSpPr>
        <xdr:cNvPr id="71" name="Oval 70">
          <a:extLst>
            <a:ext uri="{FF2B5EF4-FFF2-40B4-BE49-F238E27FC236}">
              <a16:creationId xmlns:a16="http://schemas.microsoft.com/office/drawing/2014/main" id="{5DC4D7C4-A581-4617-AEFE-21F0F2EC32E4}"/>
            </a:ext>
          </a:extLst>
        </xdr:cNvPr>
        <xdr:cNvSpPr/>
      </xdr:nvSpPr>
      <xdr:spPr>
        <a:xfrm flipV="1">
          <a:off x="11274425" y="7121525"/>
          <a:ext cx="180975" cy="152399"/>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rtlCol="0" anchor="ctr"/>
        <a:lstStyle/>
        <a:p>
          <a:pPr algn="ctr"/>
          <a:endParaRPr lang="en-US" sz="1100"/>
        </a:p>
      </xdr:txBody>
    </xdr:sp>
    <xdr:clientData/>
  </xdr:twoCellAnchor>
  <xdr:twoCellAnchor>
    <xdr:from>
      <xdr:col>2</xdr:col>
      <xdr:colOff>76200</xdr:colOff>
      <xdr:row>91</xdr:row>
      <xdr:rowOff>200025</xdr:rowOff>
    </xdr:from>
    <xdr:to>
      <xdr:col>2</xdr:col>
      <xdr:colOff>257175</xdr:colOff>
      <xdr:row>92</xdr:row>
      <xdr:rowOff>85724</xdr:rowOff>
    </xdr:to>
    <xdr:sp macro="" textlink="">
      <xdr:nvSpPr>
        <xdr:cNvPr id="72" name="Oval 71">
          <a:extLst>
            <a:ext uri="{FF2B5EF4-FFF2-40B4-BE49-F238E27FC236}">
              <a16:creationId xmlns:a16="http://schemas.microsoft.com/office/drawing/2014/main" id="{D6140179-81AA-41F7-A29C-75A5D275138D}"/>
            </a:ext>
          </a:extLst>
        </xdr:cNvPr>
        <xdr:cNvSpPr/>
      </xdr:nvSpPr>
      <xdr:spPr>
        <a:xfrm flipV="1">
          <a:off x="12001500" y="7121525"/>
          <a:ext cx="180975" cy="152399"/>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rtlCol="0" anchor="ctr"/>
        <a:lstStyle/>
        <a:p>
          <a:pPr algn="ctr"/>
          <a:endParaRPr lang="en-US" sz="1100"/>
        </a:p>
      </xdr:txBody>
    </xdr:sp>
    <xdr:clientData/>
  </xdr:twoCellAnchor>
  <xdr:twoCellAnchor>
    <xdr:from>
      <xdr:col>3</xdr:col>
      <xdr:colOff>190500</xdr:colOff>
      <xdr:row>91</xdr:row>
      <xdr:rowOff>209550</xdr:rowOff>
    </xdr:from>
    <xdr:to>
      <xdr:col>3</xdr:col>
      <xdr:colOff>371475</xdr:colOff>
      <xdr:row>92</xdr:row>
      <xdr:rowOff>95249</xdr:rowOff>
    </xdr:to>
    <xdr:sp macro="" textlink="">
      <xdr:nvSpPr>
        <xdr:cNvPr id="73" name="Oval 72">
          <a:extLst>
            <a:ext uri="{FF2B5EF4-FFF2-40B4-BE49-F238E27FC236}">
              <a16:creationId xmlns:a16="http://schemas.microsoft.com/office/drawing/2014/main" id="{74D8CC7A-70A2-4906-B8DE-3EC57E3CD4AE}"/>
            </a:ext>
          </a:extLst>
        </xdr:cNvPr>
        <xdr:cNvSpPr/>
      </xdr:nvSpPr>
      <xdr:spPr>
        <a:xfrm flipV="1">
          <a:off x="12725400" y="7131050"/>
          <a:ext cx="180975" cy="152399"/>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rtlCol="0" anchor="ctr"/>
        <a:lstStyle/>
        <a:p>
          <a:pPr algn="ctr"/>
          <a:endParaRPr lang="en-US" sz="1100"/>
        </a:p>
      </xdr:txBody>
    </xdr:sp>
    <xdr:clientData/>
  </xdr:twoCellAnchor>
  <xdr:twoCellAnchor>
    <xdr:from>
      <xdr:col>4</xdr:col>
      <xdr:colOff>361950</xdr:colOff>
      <xdr:row>91</xdr:row>
      <xdr:rowOff>209550</xdr:rowOff>
    </xdr:from>
    <xdr:to>
      <xdr:col>4</xdr:col>
      <xdr:colOff>542925</xdr:colOff>
      <xdr:row>92</xdr:row>
      <xdr:rowOff>95249</xdr:rowOff>
    </xdr:to>
    <xdr:sp macro="" textlink="">
      <xdr:nvSpPr>
        <xdr:cNvPr id="74" name="Oval 73">
          <a:extLst>
            <a:ext uri="{FF2B5EF4-FFF2-40B4-BE49-F238E27FC236}">
              <a16:creationId xmlns:a16="http://schemas.microsoft.com/office/drawing/2014/main" id="{7548AFF7-2C17-4581-B739-10481FBE2872}"/>
            </a:ext>
          </a:extLst>
        </xdr:cNvPr>
        <xdr:cNvSpPr/>
      </xdr:nvSpPr>
      <xdr:spPr>
        <a:xfrm flipV="1">
          <a:off x="13506450" y="7131050"/>
          <a:ext cx="180975" cy="152399"/>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rtlCol="0" anchor="ctr"/>
        <a:lstStyle/>
        <a:p>
          <a:pPr algn="ctr"/>
          <a:endParaRPr lang="en-US" sz="1100"/>
        </a:p>
      </xdr:txBody>
    </xdr:sp>
    <xdr:clientData/>
  </xdr:twoCellAnchor>
  <xdr:twoCellAnchor>
    <xdr:from>
      <xdr:col>0</xdr:col>
      <xdr:colOff>2419350</xdr:colOff>
      <xdr:row>92</xdr:row>
      <xdr:rowOff>9525</xdr:rowOff>
    </xdr:from>
    <xdr:to>
      <xdr:col>5</xdr:col>
      <xdr:colOff>66675</xdr:colOff>
      <xdr:row>95</xdr:row>
      <xdr:rowOff>171450</xdr:rowOff>
    </xdr:to>
    <xdr:cxnSp macro="">
      <xdr:nvCxnSpPr>
        <xdr:cNvPr id="75" name="Straight Connector 74">
          <a:extLst>
            <a:ext uri="{FF2B5EF4-FFF2-40B4-BE49-F238E27FC236}">
              <a16:creationId xmlns:a16="http://schemas.microsoft.com/office/drawing/2014/main" id="{3F6A8D16-BE4D-43BF-81F8-1E035CF04902}"/>
            </a:ext>
          </a:extLst>
        </xdr:cNvPr>
        <xdr:cNvCxnSpPr/>
      </xdr:nvCxnSpPr>
      <xdr:spPr>
        <a:xfrm>
          <a:off x="10515600" y="7197725"/>
          <a:ext cx="3305175" cy="8731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314325</xdr:colOff>
      <xdr:row>92</xdr:row>
      <xdr:rowOff>38100</xdr:rowOff>
    </xdr:from>
    <xdr:to>
      <xdr:col>5</xdr:col>
      <xdr:colOff>66675</xdr:colOff>
      <xdr:row>95</xdr:row>
      <xdr:rowOff>161925</xdr:rowOff>
    </xdr:to>
    <xdr:cxnSp macro="">
      <xdr:nvCxnSpPr>
        <xdr:cNvPr id="76" name="Straight Connector 75">
          <a:extLst>
            <a:ext uri="{FF2B5EF4-FFF2-40B4-BE49-F238E27FC236}">
              <a16:creationId xmlns:a16="http://schemas.microsoft.com/office/drawing/2014/main" id="{F49B483C-78A0-4B74-9581-DC1284371388}"/>
            </a:ext>
          </a:extLst>
        </xdr:cNvPr>
        <xdr:cNvCxnSpPr/>
      </xdr:nvCxnSpPr>
      <xdr:spPr>
        <a:xfrm>
          <a:off x="12239625" y="7226300"/>
          <a:ext cx="1581150" cy="835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581025</xdr:colOff>
      <xdr:row>92</xdr:row>
      <xdr:rowOff>104774</xdr:rowOff>
    </xdr:from>
    <xdr:to>
      <xdr:col>5</xdr:col>
      <xdr:colOff>57150</xdr:colOff>
      <xdr:row>95</xdr:row>
      <xdr:rowOff>180974</xdr:rowOff>
    </xdr:to>
    <xdr:cxnSp macro="">
      <xdr:nvCxnSpPr>
        <xdr:cNvPr id="77" name="Straight Connector 76">
          <a:extLst>
            <a:ext uri="{FF2B5EF4-FFF2-40B4-BE49-F238E27FC236}">
              <a16:creationId xmlns:a16="http://schemas.microsoft.com/office/drawing/2014/main" id="{4B03A409-AE4F-4796-BA43-68555835A133}"/>
            </a:ext>
          </a:extLst>
        </xdr:cNvPr>
        <xdr:cNvCxnSpPr/>
      </xdr:nvCxnSpPr>
      <xdr:spPr>
        <a:xfrm rot="16200000" flipH="1">
          <a:off x="13374688" y="7643811"/>
          <a:ext cx="787400" cy="857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800101</xdr:colOff>
      <xdr:row>78</xdr:row>
      <xdr:rowOff>190499</xdr:rowOff>
    </xdr:from>
    <xdr:to>
      <xdr:col>2</xdr:col>
      <xdr:colOff>76201</xdr:colOff>
      <xdr:row>80</xdr:row>
      <xdr:rowOff>9524</xdr:rowOff>
    </xdr:to>
    <xdr:cxnSp macro="">
      <xdr:nvCxnSpPr>
        <xdr:cNvPr id="78" name="Straight Connector 77">
          <a:extLst>
            <a:ext uri="{FF2B5EF4-FFF2-40B4-BE49-F238E27FC236}">
              <a16:creationId xmlns:a16="http://schemas.microsoft.com/office/drawing/2014/main" id="{C0A45022-8B9F-4C68-9F02-15C26B1246AE}"/>
            </a:ext>
          </a:extLst>
        </xdr:cNvPr>
        <xdr:cNvCxnSpPr/>
      </xdr:nvCxnSpPr>
      <xdr:spPr>
        <a:xfrm rot="16200000" flipH="1">
          <a:off x="11717338" y="3922712"/>
          <a:ext cx="288925" cy="2794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57150</xdr:colOff>
      <xdr:row>77</xdr:row>
      <xdr:rowOff>95252</xdr:rowOff>
    </xdr:from>
    <xdr:to>
      <xdr:col>2</xdr:col>
      <xdr:colOff>247649</xdr:colOff>
      <xdr:row>80</xdr:row>
      <xdr:rowOff>28576</xdr:rowOff>
    </xdr:to>
    <xdr:cxnSp macro="">
      <xdr:nvCxnSpPr>
        <xdr:cNvPr id="79" name="Straight Connector 78">
          <a:extLst>
            <a:ext uri="{FF2B5EF4-FFF2-40B4-BE49-F238E27FC236}">
              <a16:creationId xmlns:a16="http://schemas.microsoft.com/office/drawing/2014/main" id="{0634105C-6246-4D5F-A4F0-DCB96AABD926}"/>
            </a:ext>
          </a:extLst>
        </xdr:cNvPr>
        <xdr:cNvCxnSpPr/>
      </xdr:nvCxnSpPr>
      <xdr:spPr>
        <a:xfrm rot="5400000" flipH="1" flipV="1">
          <a:off x="11758613" y="3811589"/>
          <a:ext cx="638174" cy="190499"/>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228599</xdr:colOff>
      <xdr:row>77</xdr:row>
      <xdr:rowOff>104778</xdr:rowOff>
    </xdr:from>
    <xdr:to>
      <xdr:col>2</xdr:col>
      <xdr:colOff>428624</xdr:colOff>
      <xdr:row>79</xdr:row>
      <xdr:rowOff>0</xdr:rowOff>
    </xdr:to>
    <xdr:cxnSp macro="">
      <xdr:nvCxnSpPr>
        <xdr:cNvPr id="80" name="Straight Connector 79">
          <a:extLst>
            <a:ext uri="{FF2B5EF4-FFF2-40B4-BE49-F238E27FC236}">
              <a16:creationId xmlns:a16="http://schemas.microsoft.com/office/drawing/2014/main" id="{8D0568D0-4F87-47EB-B086-2EDBA901E826}"/>
            </a:ext>
          </a:extLst>
        </xdr:cNvPr>
        <xdr:cNvCxnSpPr/>
      </xdr:nvCxnSpPr>
      <xdr:spPr>
        <a:xfrm rot="16200000" flipH="1">
          <a:off x="12071351" y="3679826"/>
          <a:ext cx="365122" cy="20002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219075</xdr:colOff>
      <xdr:row>85</xdr:row>
      <xdr:rowOff>123825</xdr:rowOff>
    </xdr:from>
    <xdr:to>
      <xdr:col>6</xdr:col>
      <xdr:colOff>438150</xdr:colOff>
      <xdr:row>89</xdr:row>
      <xdr:rowOff>47625</xdr:rowOff>
    </xdr:to>
    <xdr:cxnSp macro="">
      <xdr:nvCxnSpPr>
        <xdr:cNvPr id="81" name="Straight Connector 80">
          <a:extLst>
            <a:ext uri="{FF2B5EF4-FFF2-40B4-BE49-F238E27FC236}">
              <a16:creationId xmlns:a16="http://schemas.microsoft.com/office/drawing/2014/main" id="{3CF22DB6-123E-4B4F-8A4A-9C113F9D81CD}"/>
            </a:ext>
          </a:extLst>
        </xdr:cNvPr>
        <xdr:cNvCxnSpPr/>
      </xdr:nvCxnSpPr>
      <xdr:spPr>
        <a:xfrm flipV="1">
          <a:off x="12753975" y="5572125"/>
          <a:ext cx="2047875" cy="8953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304800</xdr:colOff>
      <xdr:row>85</xdr:row>
      <xdr:rowOff>133350</xdr:rowOff>
    </xdr:from>
    <xdr:to>
      <xdr:col>6</xdr:col>
      <xdr:colOff>419100</xdr:colOff>
      <xdr:row>89</xdr:row>
      <xdr:rowOff>76200</xdr:rowOff>
    </xdr:to>
    <xdr:cxnSp macro="">
      <xdr:nvCxnSpPr>
        <xdr:cNvPr id="82" name="Straight Connector 81">
          <a:extLst>
            <a:ext uri="{FF2B5EF4-FFF2-40B4-BE49-F238E27FC236}">
              <a16:creationId xmlns:a16="http://schemas.microsoft.com/office/drawing/2014/main" id="{0D4C3AFA-86AC-4EF9-88AF-3792FAE52991}"/>
            </a:ext>
          </a:extLst>
        </xdr:cNvPr>
        <xdr:cNvCxnSpPr/>
      </xdr:nvCxnSpPr>
      <xdr:spPr>
        <a:xfrm flipV="1">
          <a:off x="11226800" y="5581650"/>
          <a:ext cx="3556000" cy="914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866775</xdr:colOff>
      <xdr:row>14</xdr:row>
      <xdr:rowOff>180975</xdr:rowOff>
    </xdr:from>
    <xdr:to>
      <xdr:col>15</xdr:col>
      <xdr:colOff>876300</xdr:colOff>
      <xdr:row>26</xdr:row>
      <xdr:rowOff>57150</xdr:rowOff>
    </xdr:to>
    <xdr:sp macro="" textlink="">
      <xdr:nvSpPr>
        <xdr:cNvPr id="16" name="Rectangle 15">
          <a:extLst>
            <a:ext uri="{FF2B5EF4-FFF2-40B4-BE49-F238E27FC236}">
              <a16:creationId xmlns:a16="http://schemas.microsoft.com/office/drawing/2014/main" id="{C7E63D4C-04A1-4735-B135-994E6CBC2D7C}"/>
            </a:ext>
          </a:extLst>
        </xdr:cNvPr>
        <xdr:cNvSpPr/>
      </xdr:nvSpPr>
      <xdr:spPr>
        <a:xfrm>
          <a:off x="14087475" y="2672715"/>
          <a:ext cx="1381125" cy="1986915"/>
        </a:xfrm>
        <a:prstGeom prst="rect">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1057275</xdr:colOff>
      <xdr:row>24</xdr:row>
      <xdr:rowOff>152400</xdr:rowOff>
    </xdr:from>
    <xdr:to>
      <xdr:col>14</xdr:col>
      <xdr:colOff>1162050</xdr:colOff>
      <xdr:row>25</xdr:row>
      <xdr:rowOff>76200</xdr:rowOff>
    </xdr:to>
    <xdr:sp macro="" textlink="">
      <xdr:nvSpPr>
        <xdr:cNvPr id="17" name="Flowchart: Connector 16">
          <a:extLst>
            <a:ext uri="{FF2B5EF4-FFF2-40B4-BE49-F238E27FC236}">
              <a16:creationId xmlns:a16="http://schemas.microsoft.com/office/drawing/2014/main" id="{959CEE87-E21C-4AA4-A3DA-C8AED6BE1BFC}"/>
            </a:ext>
          </a:extLst>
        </xdr:cNvPr>
        <xdr:cNvSpPr/>
      </xdr:nvSpPr>
      <xdr:spPr>
        <a:xfrm>
          <a:off x="14277975" y="4404360"/>
          <a:ext cx="104775" cy="9906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14</xdr:col>
      <xdr:colOff>1266825</xdr:colOff>
      <xdr:row>24</xdr:row>
      <xdr:rowOff>161925</xdr:rowOff>
    </xdr:from>
    <xdr:to>
      <xdr:col>15</xdr:col>
      <xdr:colOff>38100</xdr:colOff>
      <xdr:row>25</xdr:row>
      <xdr:rowOff>85725</xdr:rowOff>
    </xdr:to>
    <xdr:sp macro="" textlink="">
      <xdr:nvSpPr>
        <xdr:cNvPr id="18" name="Flowchart: Connector 17">
          <a:extLst>
            <a:ext uri="{FF2B5EF4-FFF2-40B4-BE49-F238E27FC236}">
              <a16:creationId xmlns:a16="http://schemas.microsoft.com/office/drawing/2014/main" id="{05D909D8-0176-45EA-B8E8-18F4867A5F85}"/>
            </a:ext>
          </a:extLst>
        </xdr:cNvPr>
        <xdr:cNvSpPr/>
      </xdr:nvSpPr>
      <xdr:spPr>
        <a:xfrm>
          <a:off x="14487525" y="4413885"/>
          <a:ext cx="142875" cy="9906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15</xdr:col>
      <xdr:colOff>180975</xdr:colOff>
      <xdr:row>24</xdr:row>
      <xdr:rowOff>152400</xdr:rowOff>
    </xdr:from>
    <xdr:to>
      <xdr:col>15</xdr:col>
      <xdr:colOff>285750</xdr:colOff>
      <xdr:row>25</xdr:row>
      <xdr:rowOff>76200</xdr:rowOff>
    </xdr:to>
    <xdr:sp macro="" textlink="">
      <xdr:nvSpPr>
        <xdr:cNvPr id="19" name="Flowchart: Connector 18">
          <a:extLst>
            <a:ext uri="{FF2B5EF4-FFF2-40B4-BE49-F238E27FC236}">
              <a16:creationId xmlns:a16="http://schemas.microsoft.com/office/drawing/2014/main" id="{213A7333-BC8E-4FD9-B12C-85664DF022C9}"/>
            </a:ext>
          </a:extLst>
        </xdr:cNvPr>
        <xdr:cNvSpPr/>
      </xdr:nvSpPr>
      <xdr:spPr>
        <a:xfrm>
          <a:off x="14773275" y="4404360"/>
          <a:ext cx="104775" cy="9906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15</xdr:col>
      <xdr:colOff>428625</xdr:colOff>
      <xdr:row>24</xdr:row>
      <xdr:rowOff>161925</xdr:rowOff>
    </xdr:from>
    <xdr:to>
      <xdr:col>15</xdr:col>
      <xdr:colOff>533400</xdr:colOff>
      <xdr:row>25</xdr:row>
      <xdr:rowOff>85725</xdr:rowOff>
    </xdr:to>
    <xdr:sp macro="" textlink="">
      <xdr:nvSpPr>
        <xdr:cNvPr id="20" name="Flowchart: Connector 19">
          <a:extLst>
            <a:ext uri="{FF2B5EF4-FFF2-40B4-BE49-F238E27FC236}">
              <a16:creationId xmlns:a16="http://schemas.microsoft.com/office/drawing/2014/main" id="{AE2C8628-B136-4E06-98B4-47493D08F6C8}"/>
            </a:ext>
          </a:extLst>
        </xdr:cNvPr>
        <xdr:cNvSpPr/>
      </xdr:nvSpPr>
      <xdr:spPr>
        <a:xfrm>
          <a:off x="15020925" y="4413885"/>
          <a:ext cx="104775" cy="9906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15</xdr:col>
      <xdr:colOff>628650</xdr:colOff>
      <xdr:row>24</xdr:row>
      <xdr:rowOff>152400</xdr:rowOff>
    </xdr:from>
    <xdr:to>
      <xdr:col>15</xdr:col>
      <xdr:colOff>733425</xdr:colOff>
      <xdr:row>25</xdr:row>
      <xdr:rowOff>76200</xdr:rowOff>
    </xdr:to>
    <xdr:sp macro="" textlink="">
      <xdr:nvSpPr>
        <xdr:cNvPr id="21" name="Flowchart: Connector 20">
          <a:extLst>
            <a:ext uri="{FF2B5EF4-FFF2-40B4-BE49-F238E27FC236}">
              <a16:creationId xmlns:a16="http://schemas.microsoft.com/office/drawing/2014/main" id="{FB896D7E-0950-4556-ACC8-0FC8917F33C6}"/>
            </a:ext>
          </a:extLst>
        </xdr:cNvPr>
        <xdr:cNvSpPr/>
      </xdr:nvSpPr>
      <xdr:spPr>
        <a:xfrm>
          <a:off x="15220950" y="4404360"/>
          <a:ext cx="104775" cy="9906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14</xdr:col>
      <xdr:colOff>952501</xdr:colOff>
      <xdr:row>15</xdr:row>
      <xdr:rowOff>104778</xdr:rowOff>
    </xdr:from>
    <xdr:to>
      <xdr:col>14</xdr:col>
      <xdr:colOff>962027</xdr:colOff>
      <xdr:row>25</xdr:row>
      <xdr:rowOff>114303</xdr:rowOff>
    </xdr:to>
    <xdr:cxnSp macro="">
      <xdr:nvCxnSpPr>
        <xdr:cNvPr id="22" name="Straight Connector 21">
          <a:extLst>
            <a:ext uri="{FF2B5EF4-FFF2-40B4-BE49-F238E27FC236}">
              <a16:creationId xmlns:a16="http://schemas.microsoft.com/office/drawing/2014/main" id="{759D91EA-C205-457A-AF7B-8CE379ACD022}"/>
            </a:ext>
          </a:extLst>
        </xdr:cNvPr>
        <xdr:cNvCxnSpPr/>
      </xdr:nvCxnSpPr>
      <xdr:spPr>
        <a:xfrm rot="5400000">
          <a:off x="13296901" y="3655698"/>
          <a:ext cx="1762125" cy="952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981075</xdr:colOff>
      <xdr:row>15</xdr:row>
      <xdr:rowOff>114300</xdr:rowOff>
    </xdr:from>
    <xdr:to>
      <xdr:col>15</xdr:col>
      <xdr:colOff>781050</xdr:colOff>
      <xdr:row>15</xdr:row>
      <xdr:rowOff>123825</xdr:rowOff>
    </xdr:to>
    <xdr:cxnSp macro="">
      <xdr:nvCxnSpPr>
        <xdr:cNvPr id="23" name="Straight Connector 22">
          <a:extLst>
            <a:ext uri="{FF2B5EF4-FFF2-40B4-BE49-F238E27FC236}">
              <a16:creationId xmlns:a16="http://schemas.microsoft.com/office/drawing/2014/main" id="{07D51D43-BB11-4A4B-AC03-8F48A5A3E04D}"/>
            </a:ext>
          </a:extLst>
        </xdr:cNvPr>
        <xdr:cNvCxnSpPr/>
      </xdr:nvCxnSpPr>
      <xdr:spPr>
        <a:xfrm flipV="1">
          <a:off x="14201775" y="2788920"/>
          <a:ext cx="117157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962025</xdr:colOff>
      <xdr:row>25</xdr:row>
      <xdr:rowOff>114300</xdr:rowOff>
    </xdr:from>
    <xdr:to>
      <xdr:col>15</xdr:col>
      <xdr:colOff>809625</xdr:colOff>
      <xdr:row>25</xdr:row>
      <xdr:rowOff>115888</xdr:rowOff>
    </xdr:to>
    <xdr:cxnSp macro="">
      <xdr:nvCxnSpPr>
        <xdr:cNvPr id="24" name="Straight Connector 23">
          <a:extLst>
            <a:ext uri="{FF2B5EF4-FFF2-40B4-BE49-F238E27FC236}">
              <a16:creationId xmlns:a16="http://schemas.microsoft.com/office/drawing/2014/main" id="{AC51858A-8934-47EF-83E7-CA0BFDA72789}"/>
            </a:ext>
          </a:extLst>
        </xdr:cNvPr>
        <xdr:cNvCxnSpPr/>
      </xdr:nvCxnSpPr>
      <xdr:spPr>
        <a:xfrm>
          <a:off x="14182725" y="4541520"/>
          <a:ext cx="12192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866775</xdr:colOff>
      <xdr:row>14</xdr:row>
      <xdr:rowOff>180975</xdr:rowOff>
    </xdr:from>
    <xdr:to>
      <xdr:col>14</xdr:col>
      <xdr:colOff>876300</xdr:colOff>
      <xdr:row>25</xdr:row>
      <xdr:rowOff>19050</xdr:rowOff>
    </xdr:to>
    <xdr:cxnSp macro="">
      <xdr:nvCxnSpPr>
        <xdr:cNvPr id="25" name="Straight Connector 24">
          <a:extLst>
            <a:ext uri="{FF2B5EF4-FFF2-40B4-BE49-F238E27FC236}">
              <a16:creationId xmlns:a16="http://schemas.microsoft.com/office/drawing/2014/main" id="{C47560CD-3104-4CA7-8271-DF0BDE190B9D}"/>
            </a:ext>
          </a:extLst>
        </xdr:cNvPr>
        <xdr:cNvCxnSpPr/>
      </xdr:nvCxnSpPr>
      <xdr:spPr>
        <a:xfrm rot="16200000" flipH="1">
          <a:off x="13205460" y="3554730"/>
          <a:ext cx="1773555" cy="9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799307</xdr:colOff>
      <xdr:row>15</xdr:row>
      <xdr:rowOff>143670</xdr:rowOff>
    </xdr:from>
    <xdr:to>
      <xdr:col>15</xdr:col>
      <xdr:colOff>800895</xdr:colOff>
      <xdr:row>25</xdr:row>
      <xdr:rowOff>96043</xdr:rowOff>
    </xdr:to>
    <xdr:cxnSp macro="">
      <xdr:nvCxnSpPr>
        <xdr:cNvPr id="26" name="Straight Connector 25">
          <a:extLst>
            <a:ext uri="{FF2B5EF4-FFF2-40B4-BE49-F238E27FC236}">
              <a16:creationId xmlns:a16="http://schemas.microsoft.com/office/drawing/2014/main" id="{8757AD56-4681-4DA5-9C7A-EA086DD369F7}"/>
            </a:ext>
          </a:extLst>
        </xdr:cNvPr>
        <xdr:cNvCxnSpPr/>
      </xdr:nvCxnSpPr>
      <xdr:spPr>
        <a:xfrm rot="5400000">
          <a:off x="14539914" y="3669983"/>
          <a:ext cx="1704973" cy="158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971550</xdr:colOff>
      <xdr:row>14</xdr:row>
      <xdr:rowOff>57151</xdr:rowOff>
    </xdr:from>
    <xdr:to>
      <xdr:col>15</xdr:col>
      <xdr:colOff>2181225</xdr:colOff>
      <xdr:row>17</xdr:row>
      <xdr:rowOff>19050</xdr:rowOff>
    </xdr:to>
    <xdr:cxnSp macro="">
      <xdr:nvCxnSpPr>
        <xdr:cNvPr id="27" name="Straight Arrow Connector 26">
          <a:extLst>
            <a:ext uri="{FF2B5EF4-FFF2-40B4-BE49-F238E27FC236}">
              <a16:creationId xmlns:a16="http://schemas.microsoft.com/office/drawing/2014/main" id="{8720E0BA-630A-4F9B-B60F-9D26C9B41728}"/>
            </a:ext>
          </a:extLst>
        </xdr:cNvPr>
        <xdr:cNvCxnSpPr/>
      </xdr:nvCxnSpPr>
      <xdr:spPr>
        <a:xfrm flipV="1">
          <a:off x="15563850" y="2556511"/>
          <a:ext cx="1209675" cy="48767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504825</xdr:colOff>
      <xdr:row>20</xdr:row>
      <xdr:rowOff>57150</xdr:rowOff>
    </xdr:from>
    <xdr:to>
      <xdr:col>15</xdr:col>
      <xdr:colOff>2228850</xdr:colOff>
      <xdr:row>24</xdr:row>
      <xdr:rowOff>114301</xdr:rowOff>
    </xdr:to>
    <xdr:cxnSp macro="">
      <xdr:nvCxnSpPr>
        <xdr:cNvPr id="28" name="Straight Arrow Connector 27">
          <a:extLst>
            <a:ext uri="{FF2B5EF4-FFF2-40B4-BE49-F238E27FC236}">
              <a16:creationId xmlns:a16="http://schemas.microsoft.com/office/drawing/2014/main" id="{CCDC7B9C-45F0-418C-967B-F4E416C60DF5}"/>
            </a:ext>
          </a:extLst>
        </xdr:cNvPr>
        <xdr:cNvCxnSpPr/>
      </xdr:nvCxnSpPr>
      <xdr:spPr>
        <a:xfrm flipV="1">
          <a:off x="15097125" y="3608070"/>
          <a:ext cx="1724025" cy="75819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809625</xdr:colOff>
      <xdr:row>21</xdr:row>
      <xdr:rowOff>57150</xdr:rowOff>
    </xdr:from>
    <xdr:to>
      <xdr:col>16</xdr:col>
      <xdr:colOff>76200</xdr:colOff>
      <xdr:row>23</xdr:row>
      <xdr:rowOff>133350</xdr:rowOff>
    </xdr:to>
    <xdr:cxnSp macro="">
      <xdr:nvCxnSpPr>
        <xdr:cNvPr id="29" name="Straight Arrow Connector 28">
          <a:extLst>
            <a:ext uri="{FF2B5EF4-FFF2-40B4-BE49-F238E27FC236}">
              <a16:creationId xmlns:a16="http://schemas.microsoft.com/office/drawing/2014/main" id="{2F89AFE8-FA36-4529-B6E6-B933C986AB8D}"/>
            </a:ext>
          </a:extLst>
        </xdr:cNvPr>
        <xdr:cNvCxnSpPr/>
      </xdr:nvCxnSpPr>
      <xdr:spPr>
        <a:xfrm>
          <a:off x="15401925" y="3783330"/>
          <a:ext cx="1880235" cy="42672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1304925</xdr:colOff>
      <xdr:row>10</xdr:row>
      <xdr:rowOff>76200</xdr:rowOff>
    </xdr:from>
    <xdr:to>
      <xdr:col>11</xdr:col>
      <xdr:colOff>533400</xdr:colOff>
      <xdr:row>24</xdr:row>
      <xdr:rowOff>28575</xdr:rowOff>
    </xdr:to>
    <xdr:sp macro="" textlink="">
      <xdr:nvSpPr>
        <xdr:cNvPr id="14" name="Rectangle 13">
          <a:extLst>
            <a:ext uri="{FF2B5EF4-FFF2-40B4-BE49-F238E27FC236}">
              <a16:creationId xmlns:a16="http://schemas.microsoft.com/office/drawing/2014/main" id="{DE908627-E6FC-479D-8B20-9934DBA8FBB8}"/>
            </a:ext>
          </a:extLst>
        </xdr:cNvPr>
        <xdr:cNvSpPr/>
      </xdr:nvSpPr>
      <xdr:spPr>
        <a:xfrm>
          <a:off x="16438245" y="1836420"/>
          <a:ext cx="1804035" cy="24288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9</xdr:col>
      <xdr:colOff>1485900</xdr:colOff>
      <xdr:row>11</xdr:row>
      <xdr:rowOff>66675</xdr:rowOff>
    </xdr:from>
    <xdr:to>
      <xdr:col>11</xdr:col>
      <xdr:colOff>342900</xdr:colOff>
      <xdr:row>23</xdr:row>
      <xdr:rowOff>95250</xdr:rowOff>
    </xdr:to>
    <xdr:sp macro="" textlink="">
      <xdr:nvSpPr>
        <xdr:cNvPr id="15" name="Rectangle 14">
          <a:extLst>
            <a:ext uri="{FF2B5EF4-FFF2-40B4-BE49-F238E27FC236}">
              <a16:creationId xmlns:a16="http://schemas.microsoft.com/office/drawing/2014/main" id="{99F3E128-34D8-4FCD-86E5-A499ACAE3A6B}"/>
            </a:ext>
          </a:extLst>
        </xdr:cNvPr>
        <xdr:cNvSpPr/>
      </xdr:nvSpPr>
      <xdr:spPr>
        <a:xfrm>
          <a:off x="16619220" y="2002155"/>
          <a:ext cx="1432560" cy="215455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b="0"/>
        </a:p>
      </xdr:txBody>
    </xdr:sp>
    <xdr:clientData/>
  </xdr:twoCellAnchor>
  <xdr:twoCellAnchor>
    <xdr:from>
      <xdr:col>9</xdr:col>
      <xdr:colOff>1476375</xdr:colOff>
      <xdr:row>22</xdr:row>
      <xdr:rowOff>47625</xdr:rowOff>
    </xdr:from>
    <xdr:to>
      <xdr:col>9</xdr:col>
      <xdr:colOff>1685925</xdr:colOff>
      <xdr:row>23</xdr:row>
      <xdr:rowOff>66675</xdr:rowOff>
    </xdr:to>
    <xdr:sp macro="" textlink="">
      <xdr:nvSpPr>
        <xdr:cNvPr id="16" name="Oval 15">
          <a:extLst>
            <a:ext uri="{FF2B5EF4-FFF2-40B4-BE49-F238E27FC236}">
              <a16:creationId xmlns:a16="http://schemas.microsoft.com/office/drawing/2014/main" id="{867DB659-6C13-4AC1-8FE0-CA230757E445}"/>
            </a:ext>
          </a:extLst>
        </xdr:cNvPr>
        <xdr:cNvSpPr/>
      </xdr:nvSpPr>
      <xdr:spPr>
        <a:xfrm>
          <a:off x="16609695" y="3933825"/>
          <a:ext cx="209550" cy="194310"/>
        </a:xfrm>
        <a:prstGeom prst="ellipse">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10</xdr:col>
      <xdr:colOff>142875</xdr:colOff>
      <xdr:row>22</xdr:row>
      <xdr:rowOff>47625</xdr:rowOff>
    </xdr:from>
    <xdr:to>
      <xdr:col>10</xdr:col>
      <xdr:colOff>352425</xdr:colOff>
      <xdr:row>23</xdr:row>
      <xdr:rowOff>66675</xdr:rowOff>
    </xdr:to>
    <xdr:sp macro="" textlink="">
      <xdr:nvSpPr>
        <xdr:cNvPr id="17" name="Oval 16">
          <a:extLst>
            <a:ext uri="{FF2B5EF4-FFF2-40B4-BE49-F238E27FC236}">
              <a16:creationId xmlns:a16="http://schemas.microsoft.com/office/drawing/2014/main" id="{65BA35CE-898A-4621-966C-7E6E454B2B3C}"/>
            </a:ext>
          </a:extLst>
        </xdr:cNvPr>
        <xdr:cNvSpPr/>
      </xdr:nvSpPr>
      <xdr:spPr>
        <a:xfrm>
          <a:off x="17226915" y="3933825"/>
          <a:ext cx="209550" cy="194310"/>
        </a:xfrm>
        <a:prstGeom prst="ellipse">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104775</xdr:colOff>
      <xdr:row>22</xdr:row>
      <xdr:rowOff>47625</xdr:rowOff>
    </xdr:from>
    <xdr:to>
      <xdr:col>11</xdr:col>
      <xdr:colOff>314325</xdr:colOff>
      <xdr:row>23</xdr:row>
      <xdr:rowOff>66675</xdr:rowOff>
    </xdr:to>
    <xdr:sp macro="" textlink="">
      <xdr:nvSpPr>
        <xdr:cNvPr id="18" name="Oval 17">
          <a:extLst>
            <a:ext uri="{FF2B5EF4-FFF2-40B4-BE49-F238E27FC236}">
              <a16:creationId xmlns:a16="http://schemas.microsoft.com/office/drawing/2014/main" id="{3DFDCED2-0BFB-4D58-B35D-0A329FCC4A1C}"/>
            </a:ext>
          </a:extLst>
        </xdr:cNvPr>
        <xdr:cNvSpPr/>
      </xdr:nvSpPr>
      <xdr:spPr>
        <a:xfrm>
          <a:off x="17813655" y="3933825"/>
          <a:ext cx="209550" cy="194310"/>
        </a:xfrm>
        <a:prstGeom prst="ellipse">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10</xdr:col>
      <xdr:colOff>133350</xdr:colOff>
      <xdr:row>11</xdr:row>
      <xdr:rowOff>85726</xdr:rowOff>
    </xdr:from>
    <xdr:to>
      <xdr:col>10</xdr:col>
      <xdr:colOff>285750</xdr:colOff>
      <xdr:row>12</xdr:row>
      <xdr:rowOff>28576</xdr:rowOff>
    </xdr:to>
    <xdr:sp macro="" textlink="">
      <xdr:nvSpPr>
        <xdr:cNvPr id="19" name="Oval 18">
          <a:extLst>
            <a:ext uri="{FF2B5EF4-FFF2-40B4-BE49-F238E27FC236}">
              <a16:creationId xmlns:a16="http://schemas.microsoft.com/office/drawing/2014/main" id="{08D987CC-4DB9-4C51-8C2A-AF03822886B2}"/>
            </a:ext>
          </a:extLst>
        </xdr:cNvPr>
        <xdr:cNvSpPr/>
      </xdr:nvSpPr>
      <xdr:spPr>
        <a:xfrm>
          <a:off x="17217390" y="2021206"/>
          <a:ext cx="152400" cy="118110"/>
        </a:xfrm>
        <a:prstGeom prst="ellipse">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283637</xdr:colOff>
      <xdr:row>22</xdr:row>
      <xdr:rowOff>78312</xdr:rowOff>
    </xdr:from>
    <xdr:to>
      <xdr:col>12</xdr:col>
      <xdr:colOff>371475</xdr:colOff>
      <xdr:row>26</xdr:row>
      <xdr:rowOff>152399</xdr:rowOff>
    </xdr:to>
    <xdr:cxnSp macro="">
      <xdr:nvCxnSpPr>
        <xdr:cNvPr id="20" name="Straight Arrow Connector 19">
          <a:extLst>
            <a:ext uri="{FF2B5EF4-FFF2-40B4-BE49-F238E27FC236}">
              <a16:creationId xmlns:a16="http://schemas.microsoft.com/office/drawing/2014/main" id="{D851D7F7-DCED-4F24-B69C-C15D89B8E410}"/>
            </a:ext>
          </a:extLst>
        </xdr:cNvPr>
        <xdr:cNvCxnSpPr>
          <a:stCxn id="18" idx="7"/>
        </xdr:cNvCxnSpPr>
      </xdr:nvCxnSpPr>
      <xdr:spPr>
        <a:xfrm rot="16200000" flipH="1">
          <a:off x="17961292" y="3995737"/>
          <a:ext cx="775127" cy="71267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1655236</xdr:colOff>
      <xdr:row>23</xdr:row>
      <xdr:rowOff>59263</xdr:rowOff>
    </xdr:from>
    <xdr:to>
      <xdr:col>12</xdr:col>
      <xdr:colOff>304800</xdr:colOff>
      <xdr:row>26</xdr:row>
      <xdr:rowOff>161925</xdr:rowOff>
    </xdr:to>
    <xdr:cxnSp macro="">
      <xdr:nvCxnSpPr>
        <xdr:cNvPr id="21" name="Straight Arrow Connector 20">
          <a:extLst>
            <a:ext uri="{FF2B5EF4-FFF2-40B4-BE49-F238E27FC236}">
              <a16:creationId xmlns:a16="http://schemas.microsoft.com/office/drawing/2014/main" id="{7F53C49C-FFBE-44AC-AADF-9E4B12A44990}"/>
            </a:ext>
          </a:extLst>
        </xdr:cNvPr>
        <xdr:cNvCxnSpPr/>
      </xdr:nvCxnSpPr>
      <xdr:spPr>
        <a:xfrm>
          <a:off x="16788556" y="4120723"/>
          <a:ext cx="1849964" cy="62844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333375</xdr:colOff>
      <xdr:row>22</xdr:row>
      <xdr:rowOff>180975</xdr:rowOff>
    </xdr:from>
    <xdr:to>
      <xdr:col>12</xdr:col>
      <xdr:colOff>361950</xdr:colOff>
      <xdr:row>26</xdr:row>
      <xdr:rowOff>152400</xdr:rowOff>
    </xdr:to>
    <xdr:cxnSp macro="">
      <xdr:nvCxnSpPr>
        <xdr:cNvPr id="22" name="Straight Arrow Connector 21">
          <a:extLst>
            <a:ext uri="{FF2B5EF4-FFF2-40B4-BE49-F238E27FC236}">
              <a16:creationId xmlns:a16="http://schemas.microsoft.com/office/drawing/2014/main" id="{B30A81DC-26CC-45FB-816E-668E5B61F7E5}"/>
            </a:ext>
          </a:extLst>
        </xdr:cNvPr>
        <xdr:cNvCxnSpPr/>
      </xdr:nvCxnSpPr>
      <xdr:spPr>
        <a:xfrm>
          <a:off x="17417415" y="4059555"/>
          <a:ext cx="1278255" cy="68008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209550</xdr:colOff>
      <xdr:row>8</xdr:row>
      <xdr:rowOff>161925</xdr:rowOff>
    </xdr:from>
    <xdr:to>
      <xdr:col>12</xdr:col>
      <xdr:colOff>19050</xdr:colOff>
      <xdr:row>12</xdr:row>
      <xdr:rowOff>28576</xdr:rowOff>
    </xdr:to>
    <xdr:cxnSp macro="">
      <xdr:nvCxnSpPr>
        <xdr:cNvPr id="23" name="Straight Arrow Connector 22">
          <a:extLst>
            <a:ext uri="{FF2B5EF4-FFF2-40B4-BE49-F238E27FC236}">
              <a16:creationId xmlns:a16="http://schemas.microsoft.com/office/drawing/2014/main" id="{3C9E6C4A-E239-41A2-B22A-5BB137D408E9}"/>
            </a:ext>
          </a:extLst>
        </xdr:cNvPr>
        <xdr:cNvCxnSpPr>
          <a:stCxn id="19" idx="4"/>
        </xdr:cNvCxnSpPr>
      </xdr:nvCxnSpPr>
      <xdr:spPr>
        <a:xfrm rot="5400000" flipH="1" flipV="1">
          <a:off x="17535524" y="1322071"/>
          <a:ext cx="575311" cy="105918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66676</xdr:colOff>
      <xdr:row>10</xdr:row>
      <xdr:rowOff>57150</xdr:rowOff>
    </xdr:from>
    <xdr:to>
      <xdr:col>12</xdr:col>
      <xdr:colOff>95251</xdr:colOff>
      <xdr:row>24</xdr:row>
      <xdr:rowOff>47625</xdr:rowOff>
    </xdr:to>
    <xdr:cxnSp macro="">
      <xdr:nvCxnSpPr>
        <xdr:cNvPr id="24" name="Straight Arrow Connector 23">
          <a:extLst>
            <a:ext uri="{FF2B5EF4-FFF2-40B4-BE49-F238E27FC236}">
              <a16:creationId xmlns:a16="http://schemas.microsoft.com/office/drawing/2014/main" id="{F7397ECC-E04E-4CCE-A7E6-5AAE975B9981}"/>
            </a:ext>
          </a:extLst>
        </xdr:cNvPr>
        <xdr:cNvCxnSpPr/>
      </xdr:nvCxnSpPr>
      <xdr:spPr>
        <a:xfrm rot="16200000" flipH="1">
          <a:off x="17181196" y="3036570"/>
          <a:ext cx="2466975" cy="28575"/>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1285875</xdr:colOff>
      <xdr:row>9</xdr:row>
      <xdr:rowOff>85725</xdr:rowOff>
    </xdr:from>
    <xdr:to>
      <xdr:col>11</xdr:col>
      <xdr:colOff>514350</xdr:colOff>
      <xdr:row>9</xdr:row>
      <xdr:rowOff>87313</xdr:rowOff>
    </xdr:to>
    <xdr:cxnSp macro="">
      <xdr:nvCxnSpPr>
        <xdr:cNvPr id="25" name="Straight Arrow Connector 24">
          <a:extLst>
            <a:ext uri="{FF2B5EF4-FFF2-40B4-BE49-F238E27FC236}">
              <a16:creationId xmlns:a16="http://schemas.microsoft.com/office/drawing/2014/main" id="{7DFEFE1E-9BD4-400A-9384-C32A6F2216F1}"/>
            </a:ext>
          </a:extLst>
        </xdr:cNvPr>
        <xdr:cNvCxnSpPr/>
      </xdr:nvCxnSpPr>
      <xdr:spPr>
        <a:xfrm>
          <a:off x="16419195" y="1670685"/>
          <a:ext cx="1804035" cy="1588"/>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600075</xdr:colOff>
      <xdr:row>13</xdr:row>
      <xdr:rowOff>57150</xdr:rowOff>
    </xdr:from>
    <xdr:to>
      <xdr:col>16</xdr:col>
      <xdr:colOff>600075</xdr:colOff>
      <xdr:row>19</xdr:row>
      <xdr:rowOff>9525</xdr:rowOff>
    </xdr:to>
    <xdr:sp macro="" textlink="">
      <xdr:nvSpPr>
        <xdr:cNvPr id="15" name="Rectangle 14">
          <a:extLst>
            <a:ext uri="{FF2B5EF4-FFF2-40B4-BE49-F238E27FC236}">
              <a16:creationId xmlns:a16="http://schemas.microsoft.com/office/drawing/2014/main" id="{BF727C24-CE76-42C0-8F8C-C8E0121F3657}"/>
            </a:ext>
          </a:extLst>
        </xdr:cNvPr>
        <xdr:cNvSpPr/>
      </xdr:nvSpPr>
      <xdr:spPr>
        <a:xfrm>
          <a:off x="13333095" y="2335530"/>
          <a:ext cx="3124200" cy="1003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600075</xdr:colOff>
      <xdr:row>19</xdr:row>
      <xdr:rowOff>19050</xdr:rowOff>
    </xdr:from>
    <xdr:to>
      <xdr:col>12</xdr:col>
      <xdr:colOff>590550</xdr:colOff>
      <xdr:row>25</xdr:row>
      <xdr:rowOff>180975</xdr:rowOff>
    </xdr:to>
    <xdr:sp macro="" textlink="">
      <xdr:nvSpPr>
        <xdr:cNvPr id="16" name="Rectangle 15">
          <a:extLst>
            <a:ext uri="{FF2B5EF4-FFF2-40B4-BE49-F238E27FC236}">
              <a16:creationId xmlns:a16="http://schemas.microsoft.com/office/drawing/2014/main" id="{995D16DC-B422-4049-AD36-4316148EBD8A}"/>
            </a:ext>
          </a:extLst>
        </xdr:cNvPr>
        <xdr:cNvSpPr/>
      </xdr:nvSpPr>
      <xdr:spPr>
        <a:xfrm>
          <a:off x="13333095" y="3348990"/>
          <a:ext cx="615315" cy="1205865"/>
        </a:xfrm>
        <a:prstGeom prst="rect">
          <a:avLst/>
        </a:prstGeom>
      </xdr:spPr>
      <xdr:style>
        <a:lnRef idx="1">
          <a:schemeClr val="dk1"/>
        </a:lnRef>
        <a:fillRef idx="2">
          <a:schemeClr val="dk1"/>
        </a:fillRef>
        <a:effectRef idx="1">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xdr:row>
      <xdr:rowOff>9525</xdr:rowOff>
    </xdr:from>
    <xdr:to>
      <xdr:col>16</xdr:col>
      <xdr:colOff>600075</xdr:colOff>
      <xdr:row>25</xdr:row>
      <xdr:rowOff>171450</xdr:rowOff>
    </xdr:to>
    <xdr:sp macro="" textlink="">
      <xdr:nvSpPr>
        <xdr:cNvPr id="17" name="Rectangle 16">
          <a:extLst>
            <a:ext uri="{FF2B5EF4-FFF2-40B4-BE49-F238E27FC236}">
              <a16:creationId xmlns:a16="http://schemas.microsoft.com/office/drawing/2014/main" id="{969EB08E-3856-4EF2-912C-B6D54CC61438}"/>
            </a:ext>
          </a:extLst>
        </xdr:cNvPr>
        <xdr:cNvSpPr/>
      </xdr:nvSpPr>
      <xdr:spPr>
        <a:xfrm>
          <a:off x="15857220" y="3339465"/>
          <a:ext cx="600075" cy="1213485"/>
        </a:xfrm>
        <a:prstGeom prst="rect">
          <a:avLst/>
        </a:prstGeom>
      </xdr:spPr>
      <xdr:style>
        <a:lnRef idx="1">
          <a:schemeClr val="dk1"/>
        </a:lnRef>
        <a:fillRef idx="2">
          <a:schemeClr val="dk1"/>
        </a:fillRef>
        <a:effectRef idx="1">
          <a:schemeClr val="dk1"/>
        </a:effectRef>
        <a:fontRef idx="minor">
          <a:schemeClr val="dk1"/>
        </a:fontRef>
      </xdr:style>
      <xdr:txBody>
        <a:bodyPr rtlCol="0" anchor="ctr"/>
        <a:lstStyle/>
        <a:p>
          <a:pPr algn="ctr"/>
          <a:endParaRPr lang="en-US" sz="1100"/>
        </a:p>
      </xdr:txBody>
    </xdr:sp>
    <xdr:clientData/>
  </xdr:twoCellAnchor>
  <xdr:twoCellAnchor>
    <xdr:from>
      <xdr:col>12</xdr:col>
      <xdr:colOff>142875</xdr:colOff>
      <xdr:row>14</xdr:row>
      <xdr:rowOff>171450</xdr:rowOff>
    </xdr:from>
    <xdr:to>
      <xdr:col>13</xdr:col>
      <xdr:colOff>200025</xdr:colOff>
      <xdr:row>14</xdr:row>
      <xdr:rowOff>180975</xdr:rowOff>
    </xdr:to>
    <xdr:cxnSp macro="">
      <xdr:nvCxnSpPr>
        <xdr:cNvPr id="18" name="Straight Connector 17">
          <a:extLst>
            <a:ext uri="{FF2B5EF4-FFF2-40B4-BE49-F238E27FC236}">
              <a16:creationId xmlns:a16="http://schemas.microsoft.com/office/drawing/2014/main" id="{868200DD-F536-4D2D-B569-EA9C56CA881F}"/>
            </a:ext>
          </a:extLst>
        </xdr:cNvPr>
        <xdr:cNvCxnSpPr/>
      </xdr:nvCxnSpPr>
      <xdr:spPr>
        <a:xfrm flipV="1">
          <a:off x="13500735" y="2625090"/>
          <a:ext cx="681990" cy="190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428625</xdr:colOff>
      <xdr:row>15</xdr:row>
      <xdr:rowOff>1</xdr:rowOff>
    </xdr:from>
    <xdr:to>
      <xdr:col>16</xdr:col>
      <xdr:colOff>504825</xdr:colOff>
      <xdr:row>15</xdr:row>
      <xdr:rowOff>9525</xdr:rowOff>
    </xdr:to>
    <xdr:cxnSp macro="">
      <xdr:nvCxnSpPr>
        <xdr:cNvPr id="19" name="Straight Connector 18">
          <a:extLst>
            <a:ext uri="{FF2B5EF4-FFF2-40B4-BE49-F238E27FC236}">
              <a16:creationId xmlns:a16="http://schemas.microsoft.com/office/drawing/2014/main" id="{351287D2-9574-42D0-A1EB-60522BD0375E}"/>
            </a:ext>
          </a:extLst>
        </xdr:cNvPr>
        <xdr:cNvCxnSpPr/>
      </xdr:nvCxnSpPr>
      <xdr:spPr>
        <a:xfrm>
          <a:off x="15661005" y="2628901"/>
          <a:ext cx="701040" cy="95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219074</xdr:colOff>
      <xdr:row>14</xdr:row>
      <xdr:rowOff>180974</xdr:rowOff>
    </xdr:from>
    <xdr:to>
      <xdr:col>13</xdr:col>
      <xdr:colOff>542925</xdr:colOff>
      <xdr:row>18</xdr:row>
      <xdr:rowOff>9527</xdr:rowOff>
    </xdr:to>
    <xdr:cxnSp macro="">
      <xdr:nvCxnSpPr>
        <xdr:cNvPr id="20" name="Straight Connector 19">
          <a:extLst>
            <a:ext uri="{FF2B5EF4-FFF2-40B4-BE49-F238E27FC236}">
              <a16:creationId xmlns:a16="http://schemas.microsoft.com/office/drawing/2014/main" id="{43BFF3E6-4A13-4970-930A-8FA5D594528C}"/>
            </a:ext>
          </a:extLst>
        </xdr:cNvPr>
        <xdr:cNvCxnSpPr/>
      </xdr:nvCxnSpPr>
      <xdr:spPr>
        <a:xfrm rot="16200000" flipH="1">
          <a:off x="14095093" y="2733675"/>
          <a:ext cx="537213" cy="32385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514350</xdr:colOff>
      <xdr:row>18</xdr:row>
      <xdr:rowOff>0</xdr:rowOff>
    </xdr:from>
    <xdr:to>
      <xdr:col>15</xdr:col>
      <xdr:colOff>85725</xdr:colOff>
      <xdr:row>18</xdr:row>
      <xdr:rowOff>1</xdr:rowOff>
    </xdr:to>
    <xdr:cxnSp macro="">
      <xdr:nvCxnSpPr>
        <xdr:cNvPr id="21" name="Straight Connector 20">
          <a:extLst>
            <a:ext uri="{FF2B5EF4-FFF2-40B4-BE49-F238E27FC236}">
              <a16:creationId xmlns:a16="http://schemas.microsoft.com/office/drawing/2014/main" id="{B824E631-9E0D-457D-A8B1-CF1C706E2FA2}"/>
            </a:ext>
          </a:extLst>
        </xdr:cNvPr>
        <xdr:cNvCxnSpPr/>
      </xdr:nvCxnSpPr>
      <xdr:spPr>
        <a:xfrm flipV="1">
          <a:off x="14497050" y="3154680"/>
          <a:ext cx="821055"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85725</xdr:colOff>
      <xdr:row>14</xdr:row>
      <xdr:rowOff>190499</xdr:rowOff>
    </xdr:from>
    <xdr:to>
      <xdr:col>15</xdr:col>
      <xdr:colOff>419101</xdr:colOff>
      <xdr:row>17</xdr:row>
      <xdr:rowOff>171453</xdr:rowOff>
    </xdr:to>
    <xdr:cxnSp macro="">
      <xdr:nvCxnSpPr>
        <xdr:cNvPr id="22" name="Straight Connector 21">
          <a:extLst>
            <a:ext uri="{FF2B5EF4-FFF2-40B4-BE49-F238E27FC236}">
              <a16:creationId xmlns:a16="http://schemas.microsoft.com/office/drawing/2014/main" id="{EDDEBA2D-BBFE-4737-956C-9E418CFAE71D}"/>
            </a:ext>
          </a:extLst>
        </xdr:cNvPr>
        <xdr:cNvCxnSpPr/>
      </xdr:nvCxnSpPr>
      <xdr:spPr>
        <a:xfrm rot="5400000">
          <a:off x="15223806" y="2723198"/>
          <a:ext cx="521974" cy="33337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123825</xdr:colOff>
      <xdr:row>18</xdr:row>
      <xdr:rowOff>0</xdr:rowOff>
    </xdr:from>
    <xdr:to>
      <xdr:col>16</xdr:col>
      <xdr:colOff>514350</xdr:colOff>
      <xdr:row>18</xdr:row>
      <xdr:rowOff>19050</xdr:rowOff>
    </xdr:to>
    <xdr:cxnSp macro="">
      <xdr:nvCxnSpPr>
        <xdr:cNvPr id="23" name="Straight Connector 22">
          <a:extLst>
            <a:ext uri="{FF2B5EF4-FFF2-40B4-BE49-F238E27FC236}">
              <a16:creationId xmlns:a16="http://schemas.microsoft.com/office/drawing/2014/main" id="{5B2A10DA-9D39-4374-A51A-5AA82B9269ED}"/>
            </a:ext>
          </a:extLst>
        </xdr:cNvPr>
        <xdr:cNvCxnSpPr/>
      </xdr:nvCxnSpPr>
      <xdr:spPr>
        <a:xfrm>
          <a:off x="13481685" y="3154680"/>
          <a:ext cx="2889885"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495299</xdr:colOff>
      <xdr:row>13</xdr:row>
      <xdr:rowOff>76201</xdr:rowOff>
    </xdr:from>
    <xdr:to>
      <xdr:col>11</xdr:col>
      <xdr:colOff>504824</xdr:colOff>
      <xdr:row>19</xdr:row>
      <xdr:rowOff>38101</xdr:rowOff>
    </xdr:to>
    <xdr:cxnSp macro="">
      <xdr:nvCxnSpPr>
        <xdr:cNvPr id="24" name="Straight Arrow Connector 23">
          <a:extLst>
            <a:ext uri="{FF2B5EF4-FFF2-40B4-BE49-F238E27FC236}">
              <a16:creationId xmlns:a16="http://schemas.microsoft.com/office/drawing/2014/main" id="{0801622E-10DF-4187-ABBF-D8374B33BED3}"/>
            </a:ext>
          </a:extLst>
        </xdr:cNvPr>
        <xdr:cNvCxnSpPr/>
      </xdr:nvCxnSpPr>
      <xdr:spPr>
        <a:xfrm rot="16200000" flipH="1">
          <a:off x="12726352" y="2856548"/>
          <a:ext cx="1013460" cy="9525"/>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600075</xdr:colOff>
      <xdr:row>19</xdr:row>
      <xdr:rowOff>180975</xdr:rowOff>
    </xdr:from>
    <xdr:to>
      <xdr:col>15</xdr:col>
      <xdr:colOff>542925</xdr:colOff>
      <xdr:row>19</xdr:row>
      <xdr:rowOff>182563</xdr:rowOff>
    </xdr:to>
    <xdr:cxnSp macro="">
      <xdr:nvCxnSpPr>
        <xdr:cNvPr id="25" name="Straight Arrow Connector 24">
          <a:extLst>
            <a:ext uri="{FF2B5EF4-FFF2-40B4-BE49-F238E27FC236}">
              <a16:creationId xmlns:a16="http://schemas.microsoft.com/office/drawing/2014/main" id="{F2835798-7595-4AD9-B7EE-98CAC0677068}"/>
            </a:ext>
          </a:extLst>
        </xdr:cNvPr>
        <xdr:cNvCxnSpPr/>
      </xdr:nvCxnSpPr>
      <xdr:spPr>
        <a:xfrm>
          <a:off x="13957935" y="3503295"/>
          <a:ext cx="1817370" cy="1588"/>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9525</xdr:colOff>
      <xdr:row>26</xdr:row>
      <xdr:rowOff>171450</xdr:rowOff>
    </xdr:from>
    <xdr:to>
      <xdr:col>13</xdr:col>
      <xdr:colOff>0</xdr:colOff>
      <xdr:row>26</xdr:row>
      <xdr:rowOff>173038</xdr:rowOff>
    </xdr:to>
    <xdr:cxnSp macro="">
      <xdr:nvCxnSpPr>
        <xdr:cNvPr id="26" name="Straight Arrow Connector 25">
          <a:extLst>
            <a:ext uri="{FF2B5EF4-FFF2-40B4-BE49-F238E27FC236}">
              <a16:creationId xmlns:a16="http://schemas.microsoft.com/office/drawing/2014/main" id="{9AF33C66-1245-4814-A58B-5CFF5A55FD88}"/>
            </a:ext>
          </a:extLst>
        </xdr:cNvPr>
        <xdr:cNvCxnSpPr/>
      </xdr:nvCxnSpPr>
      <xdr:spPr>
        <a:xfrm>
          <a:off x="13367385" y="4728210"/>
          <a:ext cx="615315" cy="1588"/>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27</xdr:row>
      <xdr:rowOff>0</xdr:rowOff>
    </xdr:from>
    <xdr:to>
      <xdr:col>16</xdr:col>
      <xdr:colOff>600075</xdr:colOff>
      <xdr:row>27</xdr:row>
      <xdr:rowOff>1588</xdr:rowOff>
    </xdr:to>
    <xdr:cxnSp macro="">
      <xdr:nvCxnSpPr>
        <xdr:cNvPr id="27" name="Straight Arrow Connector 26">
          <a:extLst>
            <a:ext uri="{FF2B5EF4-FFF2-40B4-BE49-F238E27FC236}">
              <a16:creationId xmlns:a16="http://schemas.microsoft.com/office/drawing/2014/main" id="{06BB9FD9-7172-4748-B38A-29F2700B1A2D}"/>
            </a:ext>
          </a:extLst>
        </xdr:cNvPr>
        <xdr:cNvCxnSpPr/>
      </xdr:nvCxnSpPr>
      <xdr:spPr>
        <a:xfrm>
          <a:off x="15857220" y="4732020"/>
          <a:ext cx="600075" cy="1588"/>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17</xdr:col>
      <xdr:colOff>605517</xdr:colOff>
      <xdr:row>3</xdr:row>
      <xdr:rowOff>40822</xdr:rowOff>
    </xdr:from>
    <xdr:to>
      <xdr:col>24</xdr:col>
      <xdr:colOff>6802</xdr:colOff>
      <xdr:row>20</xdr:row>
      <xdr:rowOff>27214</xdr:rowOff>
    </xdr:to>
    <xdr:sp macro="" textlink="">
      <xdr:nvSpPr>
        <xdr:cNvPr id="8" name="Rectangle 7">
          <a:extLst>
            <a:ext uri="{FF2B5EF4-FFF2-40B4-BE49-F238E27FC236}">
              <a16:creationId xmlns:a16="http://schemas.microsoft.com/office/drawing/2014/main" id="{51EE47DD-8848-4231-A001-049C560CB49A}"/>
            </a:ext>
          </a:extLst>
        </xdr:cNvPr>
        <xdr:cNvSpPr/>
      </xdr:nvSpPr>
      <xdr:spPr>
        <a:xfrm>
          <a:off x="16538937" y="635182"/>
          <a:ext cx="3775165" cy="3400152"/>
        </a:xfrm>
        <a:prstGeom prst="rect">
          <a:avLst/>
        </a:prstGeom>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a:t>150mm</a:t>
          </a:r>
        </a:p>
        <a:p>
          <a:pPr algn="ctr"/>
          <a:endParaRPr lang="en-US" sz="1100"/>
        </a:p>
      </xdr:txBody>
    </xdr:sp>
    <xdr:clientData/>
  </xdr:twoCellAnchor>
  <xdr:twoCellAnchor>
    <xdr:from>
      <xdr:col>18</xdr:col>
      <xdr:colOff>435428</xdr:colOff>
      <xdr:row>3</xdr:row>
      <xdr:rowOff>183696</xdr:rowOff>
    </xdr:from>
    <xdr:to>
      <xdr:col>18</xdr:col>
      <xdr:colOff>449035</xdr:colOff>
      <xdr:row>18</xdr:row>
      <xdr:rowOff>122464</xdr:rowOff>
    </xdr:to>
    <xdr:cxnSp macro="">
      <xdr:nvCxnSpPr>
        <xdr:cNvPr id="9" name="Straight Connector 8">
          <a:extLst>
            <a:ext uri="{FF2B5EF4-FFF2-40B4-BE49-F238E27FC236}">
              <a16:creationId xmlns:a16="http://schemas.microsoft.com/office/drawing/2014/main" id="{BD524EA1-AFA3-4DF2-87BF-0EC9C96DC374}"/>
            </a:ext>
          </a:extLst>
        </xdr:cNvPr>
        <xdr:cNvCxnSpPr/>
      </xdr:nvCxnSpPr>
      <xdr:spPr>
        <a:xfrm rot="16200000" flipH="1">
          <a:off x="15522348" y="2249396"/>
          <a:ext cx="2956288" cy="136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291759</xdr:colOff>
      <xdr:row>4</xdr:row>
      <xdr:rowOff>794</xdr:rowOff>
    </xdr:from>
    <xdr:to>
      <xdr:col>19</xdr:col>
      <xdr:colOff>293347</xdr:colOff>
      <xdr:row>18</xdr:row>
      <xdr:rowOff>130062</xdr:rowOff>
    </xdr:to>
    <xdr:cxnSp macro="">
      <xdr:nvCxnSpPr>
        <xdr:cNvPr id="10" name="Straight Connector 9">
          <a:extLst>
            <a:ext uri="{FF2B5EF4-FFF2-40B4-BE49-F238E27FC236}">
              <a16:creationId xmlns:a16="http://schemas.microsoft.com/office/drawing/2014/main" id="{C87423E0-EF66-4879-956A-BA1FB80585DE}"/>
            </a:ext>
          </a:extLst>
        </xdr:cNvPr>
        <xdr:cNvCxnSpPr/>
      </xdr:nvCxnSpPr>
      <xdr:spPr>
        <a:xfrm rot="5400000">
          <a:off x="16001319" y="2266814"/>
          <a:ext cx="2948668"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190500</xdr:colOff>
      <xdr:row>16</xdr:row>
      <xdr:rowOff>163286</xdr:rowOff>
    </xdr:from>
    <xdr:to>
      <xdr:col>23</xdr:col>
      <xdr:colOff>401411</xdr:colOff>
      <xdr:row>16</xdr:row>
      <xdr:rowOff>170090</xdr:rowOff>
    </xdr:to>
    <xdr:cxnSp macro="">
      <xdr:nvCxnSpPr>
        <xdr:cNvPr id="11" name="Straight Connector 10">
          <a:extLst>
            <a:ext uri="{FF2B5EF4-FFF2-40B4-BE49-F238E27FC236}">
              <a16:creationId xmlns:a16="http://schemas.microsoft.com/office/drawing/2014/main" id="{CAEE7FBB-9397-400C-942F-D3C98F5EBD9D}"/>
            </a:ext>
          </a:extLst>
        </xdr:cNvPr>
        <xdr:cNvCxnSpPr/>
      </xdr:nvCxnSpPr>
      <xdr:spPr>
        <a:xfrm flipV="1">
          <a:off x="16748760" y="3363686"/>
          <a:ext cx="3335111" cy="680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156482</xdr:colOff>
      <xdr:row>14</xdr:row>
      <xdr:rowOff>129268</xdr:rowOff>
    </xdr:from>
    <xdr:to>
      <xdr:col>23</xdr:col>
      <xdr:colOff>421822</xdr:colOff>
      <xdr:row>14</xdr:row>
      <xdr:rowOff>136072</xdr:rowOff>
    </xdr:to>
    <xdr:cxnSp macro="">
      <xdr:nvCxnSpPr>
        <xdr:cNvPr id="12" name="Straight Connector 11">
          <a:extLst>
            <a:ext uri="{FF2B5EF4-FFF2-40B4-BE49-F238E27FC236}">
              <a16:creationId xmlns:a16="http://schemas.microsoft.com/office/drawing/2014/main" id="{12D1EF29-9F8B-4BC9-B3FF-3F5258632457}"/>
            </a:ext>
          </a:extLst>
        </xdr:cNvPr>
        <xdr:cNvCxnSpPr/>
      </xdr:nvCxnSpPr>
      <xdr:spPr>
        <a:xfrm flipV="1">
          <a:off x="16714742" y="2918188"/>
          <a:ext cx="3389540" cy="680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326572</xdr:colOff>
      <xdr:row>14</xdr:row>
      <xdr:rowOff>122463</xdr:rowOff>
    </xdr:from>
    <xdr:to>
      <xdr:col>23</xdr:col>
      <xdr:colOff>333375</xdr:colOff>
      <xdr:row>16</xdr:row>
      <xdr:rowOff>170089</xdr:rowOff>
    </xdr:to>
    <xdr:cxnSp macro="">
      <xdr:nvCxnSpPr>
        <xdr:cNvPr id="13" name="Straight Arrow Connector 12">
          <a:extLst>
            <a:ext uri="{FF2B5EF4-FFF2-40B4-BE49-F238E27FC236}">
              <a16:creationId xmlns:a16="http://schemas.microsoft.com/office/drawing/2014/main" id="{49B48A40-61D6-4B5D-82C7-9B181F7CFD92}"/>
            </a:ext>
          </a:extLst>
        </xdr:cNvPr>
        <xdr:cNvCxnSpPr/>
      </xdr:nvCxnSpPr>
      <xdr:spPr>
        <a:xfrm rot="16200000" flipH="1">
          <a:off x="19782881" y="3137534"/>
          <a:ext cx="459106" cy="6803"/>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599049</xdr:colOff>
      <xdr:row>40</xdr:row>
      <xdr:rowOff>7620</xdr:rowOff>
    </xdr:from>
    <xdr:to>
      <xdr:col>25</xdr:col>
      <xdr:colOff>64477</xdr:colOff>
      <xdr:row>42</xdr:row>
      <xdr:rowOff>38100</xdr:rowOff>
    </xdr:to>
    <xdr:sp macro="" textlink="">
      <xdr:nvSpPr>
        <xdr:cNvPr id="2" name="Rectangle 1">
          <a:extLst>
            <a:ext uri="{FF2B5EF4-FFF2-40B4-BE49-F238E27FC236}">
              <a16:creationId xmlns:a16="http://schemas.microsoft.com/office/drawing/2014/main" id="{EF4C736A-1DBA-4874-90E1-C9C502464B0F}"/>
            </a:ext>
          </a:extLst>
        </xdr:cNvPr>
        <xdr:cNvSpPr/>
      </xdr:nvSpPr>
      <xdr:spPr>
        <a:xfrm>
          <a:off x="18231729" y="7208520"/>
          <a:ext cx="3214468" cy="4114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95002</xdr:colOff>
      <xdr:row>42</xdr:row>
      <xdr:rowOff>50017</xdr:rowOff>
    </xdr:from>
    <xdr:to>
      <xdr:col>22</xdr:col>
      <xdr:colOff>395377</xdr:colOff>
      <xdr:row>43</xdr:row>
      <xdr:rowOff>96908</xdr:rowOff>
    </xdr:to>
    <xdr:sp macro="" textlink="">
      <xdr:nvSpPr>
        <xdr:cNvPr id="3" name="Rectangle 2">
          <a:extLst>
            <a:ext uri="{FF2B5EF4-FFF2-40B4-BE49-F238E27FC236}">
              <a16:creationId xmlns:a16="http://schemas.microsoft.com/office/drawing/2014/main" id="{59150262-5EBD-48FB-88D6-68FFDEF9BBB1}"/>
            </a:ext>
          </a:extLst>
        </xdr:cNvPr>
        <xdr:cNvSpPr/>
      </xdr:nvSpPr>
      <xdr:spPr>
        <a:xfrm>
          <a:off x="19602202" y="7631917"/>
          <a:ext cx="300375" cy="22215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249113</xdr:colOff>
      <xdr:row>29</xdr:row>
      <xdr:rowOff>157533</xdr:rowOff>
    </xdr:from>
    <xdr:to>
      <xdr:col>22</xdr:col>
      <xdr:colOff>293075</xdr:colOff>
      <xdr:row>40</xdr:row>
      <xdr:rowOff>21251</xdr:rowOff>
    </xdr:to>
    <xdr:sp macro="" textlink="">
      <xdr:nvSpPr>
        <xdr:cNvPr id="4" name="Flowchart: Manual Input 3">
          <a:extLst>
            <a:ext uri="{FF2B5EF4-FFF2-40B4-BE49-F238E27FC236}">
              <a16:creationId xmlns:a16="http://schemas.microsoft.com/office/drawing/2014/main" id="{98464263-A29E-4022-BE53-B9EBBD0D9527}"/>
            </a:ext>
          </a:extLst>
        </xdr:cNvPr>
        <xdr:cNvSpPr/>
      </xdr:nvSpPr>
      <xdr:spPr>
        <a:xfrm rot="5400000">
          <a:off x="18535795" y="5957671"/>
          <a:ext cx="1860158" cy="668802"/>
        </a:xfrm>
        <a:prstGeom prst="flowChartManualInpu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369276</xdr:colOff>
      <xdr:row>40</xdr:row>
      <xdr:rowOff>11723</xdr:rowOff>
    </xdr:from>
    <xdr:to>
      <xdr:col>19</xdr:col>
      <xdr:colOff>375138</xdr:colOff>
      <xdr:row>42</xdr:row>
      <xdr:rowOff>64477</xdr:rowOff>
    </xdr:to>
    <xdr:cxnSp macro="">
      <xdr:nvCxnSpPr>
        <xdr:cNvPr id="5" name="Straight Arrow Connector 4">
          <a:extLst>
            <a:ext uri="{FF2B5EF4-FFF2-40B4-BE49-F238E27FC236}">
              <a16:creationId xmlns:a16="http://schemas.microsoft.com/office/drawing/2014/main" id="{FAA1E1C2-4D02-4CB0-AEC4-CFF7EBC3642B}"/>
            </a:ext>
          </a:extLst>
        </xdr:cNvPr>
        <xdr:cNvCxnSpPr/>
      </xdr:nvCxnSpPr>
      <xdr:spPr>
        <a:xfrm flipH="1">
          <a:off x="18001956" y="7212623"/>
          <a:ext cx="5862" cy="433754"/>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345830</xdr:colOff>
      <xdr:row>29</xdr:row>
      <xdr:rowOff>46892</xdr:rowOff>
    </xdr:from>
    <xdr:to>
      <xdr:col>25</xdr:col>
      <xdr:colOff>375138</xdr:colOff>
      <xdr:row>42</xdr:row>
      <xdr:rowOff>17585</xdr:rowOff>
    </xdr:to>
    <xdr:cxnSp macro="">
      <xdr:nvCxnSpPr>
        <xdr:cNvPr id="6" name="Straight Arrow Connector 5">
          <a:extLst>
            <a:ext uri="{FF2B5EF4-FFF2-40B4-BE49-F238E27FC236}">
              <a16:creationId xmlns:a16="http://schemas.microsoft.com/office/drawing/2014/main" id="{60DFBD8C-5387-4309-A2CD-2A767A30E371}"/>
            </a:ext>
          </a:extLst>
        </xdr:cNvPr>
        <xdr:cNvCxnSpPr/>
      </xdr:nvCxnSpPr>
      <xdr:spPr>
        <a:xfrm>
          <a:off x="21727550" y="5251352"/>
          <a:ext cx="29308" cy="2348133"/>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246185</xdr:colOff>
      <xdr:row>29</xdr:row>
      <xdr:rowOff>11723</xdr:rowOff>
    </xdr:from>
    <xdr:to>
      <xdr:col>22</xdr:col>
      <xdr:colOff>181707</xdr:colOff>
      <xdr:row>29</xdr:row>
      <xdr:rowOff>17584</xdr:rowOff>
    </xdr:to>
    <xdr:cxnSp macro="">
      <xdr:nvCxnSpPr>
        <xdr:cNvPr id="7" name="Straight Arrow Connector 6">
          <a:extLst>
            <a:ext uri="{FF2B5EF4-FFF2-40B4-BE49-F238E27FC236}">
              <a16:creationId xmlns:a16="http://schemas.microsoft.com/office/drawing/2014/main" id="{59806344-C106-4BD6-B00D-07887464E4FB}"/>
            </a:ext>
          </a:extLst>
        </xdr:cNvPr>
        <xdr:cNvCxnSpPr/>
      </xdr:nvCxnSpPr>
      <xdr:spPr>
        <a:xfrm>
          <a:off x="19128545" y="5216183"/>
          <a:ext cx="560362" cy="5861"/>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11722</xdr:colOff>
      <xdr:row>35</xdr:row>
      <xdr:rowOff>146538</xdr:rowOff>
    </xdr:from>
    <xdr:to>
      <xdr:col>21</xdr:col>
      <xdr:colOff>537794</xdr:colOff>
      <xdr:row>39</xdr:row>
      <xdr:rowOff>111371</xdr:rowOff>
    </xdr:to>
    <xdr:cxnSp macro="">
      <xdr:nvCxnSpPr>
        <xdr:cNvPr id="8" name="Straight Arrow Connector 7">
          <a:extLst>
            <a:ext uri="{FF2B5EF4-FFF2-40B4-BE49-F238E27FC236}">
              <a16:creationId xmlns:a16="http://schemas.microsoft.com/office/drawing/2014/main" id="{6C8B91BD-D17D-4F22-A8E0-28AB010861E2}"/>
            </a:ext>
          </a:extLst>
        </xdr:cNvPr>
        <xdr:cNvCxnSpPr/>
      </xdr:nvCxnSpPr>
      <xdr:spPr>
        <a:xfrm>
          <a:off x="18269242" y="6471138"/>
          <a:ext cx="1150912" cy="6658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354948</xdr:colOff>
      <xdr:row>39</xdr:row>
      <xdr:rowOff>62523</xdr:rowOff>
    </xdr:from>
    <xdr:to>
      <xdr:col>25</xdr:col>
      <xdr:colOff>67733</xdr:colOff>
      <xdr:row>39</xdr:row>
      <xdr:rowOff>93784</xdr:rowOff>
    </xdr:to>
    <xdr:cxnSp macro="">
      <xdr:nvCxnSpPr>
        <xdr:cNvPr id="9" name="Straight Arrow Connector 8">
          <a:extLst>
            <a:ext uri="{FF2B5EF4-FFF2-40B4-BE49-F238E27FC236}">
              <a16:creationId xmlns:a16="http://schemas.microsoft.com/office/drawing/2014/main" id="{1515ED2D-C425-4C54-8D96-D5E6EE3A5966}"/>
            </a:ext>
          </a:extLst>
        </xdr:cNvPr>
        <xdr:cNvCxnSpPr/>
      </xdr:nvCxnSpPr>
      <xdr:spPr>
        <a:xfrm>
          <a:off x="19862148" y="7088163"/>
          <a:ext cx="1587305" cy="31261"/>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17584</xdr:colOff>
      <xdr:row>39</xdr:row>
      <xdr:rowOff>87923</xdr:rowOff>
    </xdr:from>
    <xdr:to>
      <xdr:col>21</xdr:col>
      <xdr:colOff>187569</xdr:colOff>
      <xdr:row>39</xdr:row>
      <xdr:rowOff>111369</xdr:rowOff>
    </xdr:to>
    <xdr:cxnSp macro="">
      <xdr:nvCxnSpPr>
        <xdr:cNvPr id="10" name="Straight Arrow Connector 9">
          <a:extLst>
            <a:ext uri="{FF2B5EF4-FFF2-40B4-BE49-F238E27FC236}">
              <a16:creationId xmlns:a16="http://schemas.microsoft.com/office/drawing/2014/main" id="{CE4AB03A-98EA-44BA-A0D3-56D7A21261C5}"/>
            </a:ext>
          </a:extLst>
        </xdr:cNvPr>
        <xdr:cNvCxnSpPr/>
      </xdr:nvCxnSpPr>
      <xdr:spPr>
        <a:xfrm>
          <a:off x="18275104" y="7113563"/>
          <a:ext cx="794825" cy="23446"/>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52753</xdr:colOff>
      <xdr:row>45</xdr:row>
      <xdr:rowOff>82061</xdr:rowOff>
    </xdr:from>
    <xdr:to>
      <xdr:col>25</xdr:col>
      <xdr:colOff>146538</xdr:colOff>
      <xdr:row>45</xdr:row>
      <xdr:rowOff>111369</xdr:rowOff>
    </xdr:to>
    <xdr:cxnSp macro="">
      <xdr:nvCxnSpPr>
        <xdr:cNvPr id="11" name="Straight Arrow Connector 10">
          <a:extLst>
            <a:ext uri="{FF2B5EF4-FFF2-40B4-BE49-F238E27FC236}">
              <a16:creationId xmlns:a16="http://schemas.microsoft.com/office/drawing/2014/main" id="{94D4D9F0-323A-4A70-9E35-912C1B1BDC9A}"/>
            </a:ext>
          </a:extLst>
        </xdr:cNvPr>
        <xdr:cNvCxnSpPr/>
      </xdr:nvCxnSpPr>
      <xdr:spPr>
        <a:xfrm>
          <a:off x="18310273" y="8189741"/>
          <a:ext cx="3217985" cy="29308"/>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584200</xdr:colOff>
      <xdr:row>42</xdr:row>
      <xdr:rowOff>100043</xdr:rowOff>
    </xdr:from>
    <xdr:to>
      <xdr:col>22</xdr:col>
      <xdr:colOff>95002</xdr:colOff>
      <xdr:row>42</xdr:row>
      <xdr:rowOff>140857</xdr:rowOff>
    </xdr:to>
    <xdr:cxnSp macro="">
      <xdr:nvCxnSpPr>
        <xdr:cNvPr id="12" name="Straight Arrow Connector 11">
          <a:extLst>
            <a:ext uri="{FF2B5EF4-FFF2-40B4-BE49-F238E27FC236}">
              <a16:creationId xmlns:a16="http://schemas.microsoft.com/office/drawing/2014/main" id="{4E96B14E-578C-46CE-B178-464560DB092F}"/>
            </a:ext>
          </a:extLst>
        </xdr:cNvPr>
        <xdr:cNvCxnSpPr/>
      </xdr:nvCxnSpPr>
      <xdr:spPr>
        <a:xfrm>
          <a:off x="18216880" y="7681943"/>
          <a:ext cx="1385322" cy="40814"/>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71887</xdr:colOff>
      <xdr:row>24</xdr:row>
      <xdr:rowOff>89858</xdr:rowOff>
    </xdr:from>
    <xdr:to>
      <xdr:col>14</xdr:col>
      <xdr:colOff>53915</xdr:colOff>
      <xdr:row>34</xdr:row>
      <xdr:rowOff>89859</xdr:rowOff>
    </xdr:to>
    <xdr:sp macro="" textlink="">
      <xdr:nvSpPr>
        <xdr:cNvPr id="6" name="Rectangle 5">
          <a:extLst>
            <a:ext uri="{FF2B5EF4-FFF2-40B4-BE49-F238E27FC236}">
              <a16:creationId xmlns:a16="http://schemas.microsoft.com/office/drawing/2014/main" id="{ECF53120-015F-4997-A91E-62B4D0727289}"/>
            </a:ext>
          </a:extLst>
        </xdr:cNvPr>
        <xdr:cNvSpPr/>
      </xdr:nvSpPr>
      <xdr:spPr>
        <a:xfrm>
          <a:off x="11448547" y="4296098"/>
          <a:ext cx="3030028" cy="175260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9</xdr:col>
      <xdr:colOff>350448</xdr:colOff>
      <xdr:row>27</xdr:row>
      <xdr:rowOff>89859</xdr:rowOff>
    </xdr:from>
    <xdr:to>
      <xdr:col>10</xdr:col>
      <xdr:colOff>278562</xdr:colOff>
      <xdr:row>29</xdr:row>
      <xdr:rowOff>161745</xdr:rowOff>
    </xdr:to>
    <xdr:sp macro="" textlink="">
      <xdr:nvSpPr>
        <xdr:cNvPr id="7" name="Rectangle 6">
          <a:extLst>
            <a:ext uri="{FF2B5EF4-FFF2-40B4-BE49-F238E27FC236}">
              <a16:creationId xmlns:a16="http://schemas.microsoft.com/office/drawing/2014/main" id="{18E35834-9659-4EAB-BDD1-CD86A9C79E97}"/>
            </a:ext>
          </a:extLst>
        </xdr:cNvPr>
        <xdr:cNvSpPr/>
      </xdr:nvSpPr>
      <xdr:spPr>
        <a:xfrm>
          <a:off x="11727108" y="4821879"/>
          <a:ext cx="537714" cy="42240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305519</xdr:colOff>
      <xdr:row>27</xdr:row>
      <xdr:rowOff>116817</xdr:rowOff>
    </xdr:from>
    <xdr:to>
      <xdr:col>13</xdr:col>
      <xdr:colOff>233633</xdr:colOff>
      <xdr:row>30</xdr:row>
      <xdr:rowOff>0</xdr:rowOff>
    </xdr:to>
    <xdr:sp macro="" textlink="">
      <xdr:nvSpPr>
        <xdr:cNvPr id="8" name="Rectangle 7">
          <a:extLst>
            <a:ext uri="{FF2B5EF4-FFF2-40B4-BE49-F238E27FC236}">
              <a16:creationId xmlns:a16="http://schemas.microsoft.com/office/drawing/2014/main" id="{AE28EE36-DAE7-4B2F-972E-CAFCF6899D3D}"/>
            </a:ext>
          </a:extLst>
        </xdr:cNvPr>
        <xdr:cNvSpPr/>
      </xdr:nvSpPr>
      <xdr:spPr>
        <a:xfrm>
          <a:off x="13510979" y="4848837"/>
          <a:ext cx="537714" cy="40896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332477</xdr:colOff>
      <xdr:row>19</xdr:row>
      <xdr:rowOff>62900</xdr:rowOff>
    </xdr:from>
    <xdr:to>
      <xdr:col>11</xdr:col>
      <xdr:colOff>368420</xdr:colOff>
      <xdr:row>37</xdr:row>
      <xdr:rowOff>17970</xdr:rowOff>
    </xdr:to>
    <xdr:cxnSp macro="">
      <xdr:nvCxnSpPr>
        <xdr:cNvPr id="9" name="Straight Connector 8">
          <a:extLst>
            <a:ext uri="{FF2B5EF4-FFF2-40B4-BE49-F238E27FC236}">
              <a16:creationId xmlns:a16="http://schemas.microsoft.com/office/drawing/2014/main" id="{1A3DAE14-1457-4DDD-B762-BC400B9B58B2}"/>
            </a:ext>
          </a:extLst>
        </xdr:cNvPr>
        <xdr:cNvCxnSpPr/>
      </xdr:nvCxnSpPr>
      <xdr:spPr>
        <a:xfrm rot="16200000" flipH="1">
          <a:off x="11391434" y="4929743"/>
          <a:ext cx="3109750" cy="3594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571500</xdr:colOff>
      <xdr:row>16</xdr:row>
      <xdr:rowOff>104775</xdr:rowOff>
    </xdr:from>
    <xdr:to>
      <xdr:col>13</xdr:col>
      <xdr:colOff>333375</xdr:colOff>
      <xdr:row>25</xdr:row>
      <xdr:rowOff>28575</xdr:rowOff>
    </xdr:to>
    <xdr:sp macro="" textlink="">
      <xdr:nvSpPr>
        <xdr:cNvPr id="2" name="Rectangle 1">
          <a:extLst>
            <a:ext uri="{FF2B5EF4-FFF2-40B4-BE49-F238E27FC236}">
              <a16:creationId xmlns:a16="http://schemas.microsoft.com/office/drawing/2014/main" id="{D6F69CEA-13E4-41D3-8A77-1F34BCBB2727}"/>
            </a:ext>
          </a:extLst>
        </xdr:cNvPr>
        <xdr:cNvSpPr/>
      </xdr:nvSpPr>
      <xdr:spPr>
        <a:xfrm>
          <a:off x="12146280" y="2908935"/>
          <a:ext cx="981075" cy="150876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571500</xdr:colOff>
      <xdr:row>16</xdr:row>
      <xdr:rowOff>171450</xdr:rowOff>
    </xdr:from>
    <xdr:to>
      <xdr:col>15</xdr:col>
      <xdr:colOff>85725</xdr:colOff>
      <xdr:row>21</xdr:row>
      <xdr:rowOff>123825</xdr:rowOff>
    </xdr:to>
    <xdr:sp macro="" textlink="">
      <xdr:nvSpPr>
        <xdr:cNvPr id="3" name="Rectangle 2">
          <a:extLst>
            <a:ext uri="{FF2B5EF4-FFF2-40B4-BE49-F238E27FC236}">
              <a16:creationId xmlns:a16="http://schemas.microsoft.com/office/drawing/2014/main" id="{1192A550-7DC4-4074-8BDE-442E608EA7CF}"/>
            </a:ext>
          </a:extLst>
        </xdr:cNvPr>
        <xdr:cNvSpPr/>
      </xdr:nvSpPr>
      <xdr:spPr>
        <a:xfrm>
          <a:off x="12146280" y="2975610"/>
          <a:ext cx="1952625" cy="82867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114300</xdr:colOff>
      <xdr:row>17</xdr:row>
      <xdr:rowOff>123825</xdr:rowOff>
    </xdr:from>
    <xdr:to>
      <xdr:col>12</xdr:col>
      <xdr:colOff>219075</xdr:colOff>
      <xdr:row>18</xdr:row>
      <xdr:rowOff>47625</xdr:rowOff>
    </xdr:to>
    <xdr:sp macro="" textlink="">
      <xdr:nvSpPr>
        <xdr:cNvPr id="4" name="Flowchart: Connector 3">
          <a:extLst>
            <a:ext uri="{FF2B5EF4-FFF2-40B4-BE49-F238E27FC236}">
              <a16:creationId xmlns:a16="http://schemas.microsoft.com/office/drawing/2014/main" id="{1D4031BF-B299-4D84-AA6F-7DF744D5347A}"/>
            </a:ext>
          </a:extLst>
        </xdr:cNvPr>
        <xdr:cNvSpPr/>
      </xdr:nvSpPr>
      <xdr:spPr>
        <a:xfrm>
          <a:off x="12298680" y="3103245"/>
          <a:ext cx="104775" cy="9906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95250</xdr:colOff>
      <xdr:row>18</xdr:row>
      <xdr:rowOff>135255</xdr:rowOff>
    </xdr:from>
    <xdr:to>
      <xdr:col>12</xdr:col>
      <xdr:colOff>228600</xdr:colOff>
      <xdr:row>19</xdr:row>
      <xdr:rowOff>66674</xdr:rowOff>
    </xdr:to>
    <xdr:sp macro="" textlink="">
      <xdr:nvSpPr>
        <xdr:cNvPr id="5" name="Flowchart: Connector 4">
          <a:extLst>
            <a:ext uri="{FF2B5EF4-FFF2-40B4-BE49-F238E27FC236}">
              <a16:creationId xmlns:a16="http://schemas.microsoft.com/office/drawing/2014/main" id="{6ECEC85C-4327-4E51-B540-AB04D1855782}"/>
            </a:ext>
          </a:extLst>
        </xdr:cNvPr>
        <xdr:cNvSpPr/>
      </xdr:nvSpPr>
      <xdr:spPr>
        <a:xfrm flipV="1">
          <a:off x="12279630" y="3289935"/>
          <a:ext cx="133350" cy="106679"/>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95250</xdr:colOff>
      <xdr:row>19</xdr:row>
      <xdr:rowOff>123825</xdr:rowOff>
    </xdr:from>
    <xdr:to>
      <xdr:col>12</xdr:col>
      <xdr:colOff>200025</xdr:colOff>
      <xdr:row>20</xdr:row>
      <xdr:rowOff>47625</xdr:rowOff>
    </xdr:to>
    <xdr:sp macro="" textlink="">
      <xdr:nvSpPr>
        <xdr:cNvPr id="6" name="Flowchart: Connector 5">
          <a:extLst>
            <a:ext uri="{FF2B5EF4-FFF2-40B4-BE49-F238E27FC236}">
              <a16:creationId xmlns:a16="http://schemas.microsoft.com/office/drawing/2014/main" id="{4DAF209A-F0E3-48FA-9E04-82BE5EB77C66}"/>
            </a:ext>
          </a:extLst>
        </xdr:cNvPr>
        <xdr:cNvSpPr/>
      </xdr:nvSpPr>
      <xdr:spPr>
        <a:xfrm>
          <a:off x="12279630" y="3453765"/>
          <a:ext cx="104775" cy="9906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123825</xdr:colOff>
      <xdr:row>20</xdr:row>
      <xdr:rowOff>133350</xdr:rowOff>
    </xdr:from>
    <xdr:to>
      <xdr:col>12</xdr:col>
      <xdr:colOff>228600</xdr:colOff>
      <xdr:row>21</xdr:row>
      <xdr:rowOff>57150</xdr:rowOff>
    </xdr:to>
    <xdr:sp macro="" textlink="">
      <xdr:nvSpPr>
        <xdr:cNvPr id="7" name="Flowchart: Connector 6">
          <a:extLst>
            <a:ext uri="{FF2B5EF4-FFF2-40B4-BE49-F238E27FC236}">
              <a16:creationId xmlns:a16="http://schemas.microsoft.com/office/drawing/2014/main" id="{540CE62D-BC80-47E6-A4FC-F28650C21FB7}"/>
            </a:ext>
          </a:extLst>
        </xdr:cNvPr>
        <xdr:cNvSpPr/>
      </xdr:nvSpPr>
      <xdr:spPr>
        <a:xfrm>
          <a:off x="12308205" y="3638550"/>
          <a:ext cx="104775" cy="9906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571500</xdr:colOff>
      <xdr:row>17</xdr:row>
      <xdr:rowOff>152400</xdr:rowOff>
    </xdr:from>
    <xdr:to>
      <xdr:col>13</xdr:col>
      <xdr:colOff>85725</xdr:colOff>
      <xdr:row>18</xdr:row>
      <xdr:rowOff>76200</xdr:rowOff>
    </xdr:to>
    <xdr:sp macro="" textlink="">
      <xdr:nvSpPr>
        <xdr:cNvPr id="8" name="Flowchart: Connector 7">
          <a:extLst>
            <a:ext uri="{FF2B5EF4-FFF2-40B4-BE49-F238E27FC236}">
              <a16:creationId xmlns:a16="http://schemas.microsoft.com/office/drawing/2014/main" id="{8C3BDE8E-4B34-4E03-8C28-D187C81CE1EF}"/>
            </a:ext>
          </a:extLst>
        </xdr:cNvPr>
        <xdr:cNvSpPr/>
      </xdr:nvSpPr>
      <xdr:spPr>
        <a:xfrm>
          <a:off x="12755880" y="3131820"/>
          <a:ext cx="123825" cy="9906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581025</xdr:colOff>
      <xdr:row>18</xdr:row>
      <xdr:rowOff>180975</xdr:rowOff>
    </xdr:from>
    <xdr:to>
      <xdr:col>13</xdr:col>
      <xdr:colOff>95250</xdr:colOff>
      <xdr:row>19</xdr:row>
      <xdr:rowOff>104775</xdr:rowOff>
    </xdr:to>
    <xdr:sp macro="" textlink="">
      <xdr:nvSpPr>
        <xdr:cNvPr id="9" name="Flowchart: Connector 8">
          <a:extLst>
            <a:ext uri="{FF2B5EF4-FFF2-40B4-BE49-F238E27FC236}">
              <a16:creationId xmlns:a16="http://schemas.microsoft.com/office/drawing/2014/main" id="{786DFEFA-5CB1-45C9-8498-353E613D23D4}"/>
            </a:ext>
          </a:extLst>
        </xdr:cNvPr>
        <xdr:cNvSpPr/>
      </xdr:nvSpPr>
      <xdr:spPr>
        <a:xfrm>
          <a:off x="12765405" y="3328035"/>
          <a:ext cx="123825" cy="10668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13</xdr:col>
      <xdr:colOff>0</xdr:colOff>
      <xdr:row>19</xdr:row>
      <xdr:rowOff>152400</xdr:rowOff>
    </xdr:from>
    <xdr:to>
      <xdr:col>13</xdr:col>
      <xdr:colOff>104775</xdr:colOff>
      <xdr:row>20</xdr:row>
      <xdr:rowOff>76200</xdr:rowOff>
    </xdr:to>
    <xdr:sp macro="" textlink="">
      <xdr:nvSpPr>
        <xdr:cNvPr id="10" name="Flowchart: Connector 9">
          <a:extLst>
            <a:ext uri="{FF2B5EF4-FFF2-40B4-BE49-F238E27FC236}">
              <a16:creationId xmlns:a16="http://schemas.microsoft.com/office/drawing/2014/main" id="{62992ED7-76D3-4296-BDEA-9ABA6D972FAD}"/>
            </a:ext>
          </a:extLst>
        </xdr:cNvPr>
        <xdr:cNvSpPr/>
      </xdr:nvSpPr>
      <xdr:spPr>
        <a:xfrm>
          <a:off x="12793980" y="3482340"/>
          <a:ext cx="104775" cy="9906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581025</xdr:colOff>
      <xdr:row>20</xdr:row>
      <xdr:rowOff>161925</xdr:rowOff>
    </xdr:from>
    <xdr:to>
      <xdr:col>13</xdr:col>
      <xdr:colOff>95250</xdr:colOff>
      <xdr:row>21</xdr:row>
      <xdr:rowOff>85725</xdr:rowOff>
    </xdr:to>
    <xdr:sp macro="" textlink="">
      <xdr:nvSpPr>
        <xdr:cNvPr id="11" name="Flowchart: Connector 10">
          <a:extLst>
            <a:ext uri="{FF2B5EF4-FFF2-40B4-BE49-F238E27FC236}">
              <a16:creationId xmlns:a16="http://schemas.microsoft.com/office/drawing/2014/main" id="{FE257883-1915-418F-8BB1-FCEF6173C9EC}"/>
            </a:ext>
          </a:extLst>
        </xdr:cNvPr>
        <xdr:cNvSpPr/>
      </xdr:nvSpPr>
      <xdr:spPr>
        <a:xfrm>
          <a:off x="12765405" y="3667125"/>
          <a:ext cx="123825" cy="99060"/>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456407</xdr:colOff>
      <xdr:row>11</xdr:row>
      <xdr:rowOff>181768</xdr:rowOff>
    </xdr:from>
    <xdr:to>
      <xdr:col>12</xdr:col>
      <xdr:colOff>457995</xdr:colOff>
      <xdr:row>28</xdr:row>
      <xdr:rowOff>67468</xdr:rowOff>
    </xdr:to>
    <xdr:cxnSp macro="">
      <xdr:nvCxnSpPr>
        <xdr:cNvPr id="12" name="Straight Connector 11">
          <a:extLst>
            <a:ext uri="{FF2B5EF4-FFF2-40B4-BE49-F238E27FC236}">
              <a16:creationId xmlns:a16="http://schemas.microsoft.com/office/drawing/2014/main" id="{0FACD40A-9284-45B7-A7BE-6316371E3D03}"/>
            </a:ext>
          </a:extLst>
        </xdr:cNvPr>
        <xdr:cNvCxnSpPr/>
      </xdr:nvCxnSpPr>
      <xdr:spPr>
        <a:xfrm rot="5400000">
          <a:off x="11189971" y="3552824"/>
          <a:ext cx="290322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485775</xdr:colOff>
      <xdr:row>15</xdr:row>
      <xdr:rowOff>66675</xdr:rowOff>
    </xdr:from>
    <xdr:to>
      <xdr:col>14</xdr:col>
      <xdr:colOff>504825</xdr:colOff>
      <xdr:row>15</xdr:row>
      <xdr:rowOff>95250</xdr:rowOff>
    </xdr:to>
    <xdr:cxnSp macro="">
      <xdr:nvCxnSpPr>
        <xdr:cNvPr id="13" name="Straight Arrow Connector 12">
          <a:extLst>
            <a:ext uri="{FF2B5EF4-FFF2-40B4-BE49-F238E27FC236}">
              <a16:creationId xmlns:a16="http://schemas.microsoft.com/office/drawing/2014/main" id="{B0A8E6BD-1D74-4730-9E3A-A8221747015A}"/>
            </a:ext>
          </a:extLst>
        </xdr:cNvPr>
        <xdr:cNvCxnSpPr/>
      </xdr:nvCxnSpPr>
      <xdr:spPr>
        <a:xfrm>
          <a:off x="12670155" y="2695575"/>
          <a:ext cx="1238250" cy="28575"/>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xdr:colOff>
      <xdr:row>11</xdr:row>
      <xdr:rowOff>161925</xdr:rowOff>
    </xdr:from>
    <xdr:to>
      <xdr:col>15</xdr:col>
      <xdr:colOff>9526</xdr:colOff>
      <xdr:row>17</xdr:row>
      <xdr:rowOff>0</xdr:rowOff>
    </xdr:to>
    <xdr:cxnSp macro="">
      <xdr:nvCxnSpPr>
        <xdr:cNvPr id="14" name="Straight Arrow Connector 13">
          <a:extLst>
            <a:ext uri="{FF2B5EF4-FFF2-40B4-BE49-F238E27FC236}">
              <a16:creationId xmlns:a16="http://schemas.microsoft.com/office/drawing/2014/main" id="{456B2867-29CB-4027-AE02-2FD45FE0432F}"/>
            </a:ext>
          </a:extLst>
        </xdr:cNvPr>
        <xdr:cNvCxnSpPr/>
      </xdr:nvCxnSpPr>
      <xdr:spPr>
        <a:xfrm rot="5400000">
          <a:off x="13573126" y="2529840"/>
          <a:ext cx="889635" cy="95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1047750</xdr:colOff>
      <xdr:row>11</xdr:row>
      <xdr:rowOff>47625</xdr:rowOff>
    </xdr:from>
    <xdr:to>
      <xdr:col>9</xdr:col>
      <xdr:colOff>66675</xdr:colOff>
      <xdr:row>22</xdr:row>
      <xdr:rowOff>152400</xdr:rowOff>
    </xdr:to>
    <xdr:sp macro="" textlink="">
      <xdr:nvSpPr>
        <xdr:cNvPr id="15" name="Rectangle 14">
          <a:extLst>
            <a:ext uri="{FF2B5EF4-FFF2-40B4-BE49-F238E27FC236}">
              <a16:creationId xmlns:a16="http://schemas.microsoft.com/office/drawing/2014/main" id="{8900FD84-2336-4F7F-97F6-8869EC3EFA1C}"/>
            </a:ext>
          </a:extLst>
        </xdr:cNvPr>
        <xdr:cNvSpPr/>
      </xdr:nvSpPr>
      <xdr:spPr>
        <a:xfrm>
          <a:off x="10504170" y="1975485"/>
          <a:ext cx="1221105" cy="20326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9</xdr:col>
      <xdr:colOff>95250</xdr:colOff>
      <xdr:row>11</xdr:row>
      <xdr:rowOff>47625</xdr:rowOff>
    </xdr:from>
    <xdr:to>
      <xdr:col>11</xdr:col>
      <xdr:colOff>371475</xdr:colOff>
      <xdr:row>17</xdr:row>
      <xdr:rowOff>0</xdr:rowOff>
    </xdr:to>
    <xdr:sp macro="" textlink="">
      <xdr:nvSpPr>
        <xdr:cNvPr id="16" name="Rectangle 15">
          <a:extLst>
            <a:ext uri="{FF2B5EF4-FFF2-40B4-BE49-F238E27FC236}">
              <a16:creationId xmlns:a16="http://schemas.microsoft.com/office/drawing/2014/main" id="{0F605922-71A8-4044-8F8E-BAD3B7BCBCFE}"/>
            </a:ext>
          </a:extLst>
        </xdr:cNvPr>
        <xdr:cNvSpPr/>
      </xdr:nvSpPr>
      <xdr:spPr>
        <a:xfrm>
          <a:off x="11753850" y="1975485"/>
          <a:ext cx="1769745" cy="1003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200025</xdr:colOff>
      <xdr:row>3</xdr:row>
      <xdr:rowOff>142876</xdr:rowOff>
    </xdr:from>
    <xdr:to>
      <xdr:col>11</xdr:col>
      <xdr:colOff>209550</xdr:colOff>
      <xdr:row>11</xdr:row>
      <xdr:rowOff>28576</xdr:rowOff>
    </xdr:to>
    <xdr:cxnSp macro="">
      <xdr:nvCxnSpPr>
        <xdr:cNvPr id="17" name="Straight Arrow Connector 16">
          <a:extLst>
            <a:ext uri="{FF2B5EF4-FFF2-40B4-BE49-F238E27FC236}">
              <a16:creationId xmlns:a16="http://schemas.microsoft.com/office/drawing/2014/main" id="{9BE3852B-E930-401B-94A3-F90CE3BE056B}"/>
            </a:ext>
          </a:extLst>
        </xdr:cNvPr>
        <xdr:cNvCxnSpPr/>
      </xdr:nvCxnSpPr>
      <xdr:spPr>
        <a:xfrm rot="5400000">
          <a:off x="12713018" y="1307783"/>
          <a:ext cx="1287780" cy="95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123825</xdr:colOff>
      <xdr:row>8</xdr:row>
      <xdr:rowOff>180975</xdr:rowOff>
    </xdr:from>
    <xdr:to>
      <xdr:col>11</xdr:col>
      <xdr:colOff>171450</xdr:colOff>
      <xdr:row>9</xdr:row>
      <xdr:rowOff>0</xdr:rowOff>
    </xdr:to>
    <xdr:cxnSp macro="">
      <xdr:nvCxnSpPr>
        <xdr:cNvPr id="18" name="Straight Arrow Connector 17">
          <a:extLst>
            <a:ext uri="{FF2B5EF4-FFF2-40B4-BE49-F238E27FC236}">
              <a16:creationId xmlns:a16="http://schemas.microsoft.com/office/drawing/2014/main" id="{738E4A6C-CDCF-47AA-826A-5F0BF8D0827A}"/>
            </a:ext>
          </a:extLst>
        </xdr:cNvPr>
        <xdr:cNvCxnSpPr/>
      </xdr:nvCxnSpPr>
      <xdr:spPr>
        <a:xfrm flipV="1">
          <a:off x="11782425" y="1575435"/>
          <a:ext cx="1541145" cy="1905"/>
        </a:xfrm>
        <a:prstGeom prst="straightConnector1">
          <a:avLst/>
        </a:prstGeom>
        <a:ln>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457200</xdr:colOff>
      <xdr:row>21</xdr:row>
      <xdr:rowOff>104775</xdr:rowOff>
    </xdr:from>
    <xdr:to>
      <xdr:col>12</xdr:col>
      <xdr:colOff>400050</xdr:colOff>
      <xdr:row>30</xdr:row>
      <xdr:rowOff>0</xdr:rowOff>
    </xdr:to>
    <xdr:sp macro="" textlink="">
      <xdr:nvSpPr>
        <xdr:cNvPr id="19" name="Rectangle 18">
          <a:extLst>
            <a:ext uri="{FF2B5EF4-FFF2-40B4-BE49-F238E27FC236}">
              <a16:creationId xmlns:a16="http://schemas.microsoft.com/office/drawing/2014/main" id="{B78EB1F6-93FA-4D38-9795-C7B9D112BD41}"/>
            </a:ext>
          </a:extLst>
        </xdr:cNvPr>
        <xdr:cNvSpPr/>
      </xdr:nvSpPr>
      <xdr:spPr>
        <a:xfrm>
          <a:off x="13121640" y="3785235"/>
          <a:ext cx="1040130" cy="152590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161925</xdr:colOff>
      <xdr:row>22</xdr:row>
      <xdr:rowOff>104775</xdr:rowOff>
    </xdr:from>
    <xdr:to>
      <xdr:col>11</xdr:col>
      <xdr:colOff>304800</xdr:colOff>
      <xdr:row>23</xdr:row>
      <xdr:rowOff>114300</xdr:rowOff>
    </xdr:to>
    <xdr:sp macro="" textlink="">
      <xdr:nvSpPr>
        <xdr:cNvPr id="20" name="Oval 19">
          <a:extLst>
            <a:ext uri="{FF2B5EF4-FFF2-40B4-BE49-F238E27FC236}">
              <a16:creationId xmlns:a16="http://schemas.microsoft.com/office/drawing/2014/main" id="{9499A938-AEFA-4E90-B929-ED994D7F75B7}"/>
            </a:ext>
          </a:extLst>
        </xdr:cNvPr>
        <xdr:cNvSpPr/>
      </xdr:nvSpPr>
      <xdr:spPr>
        <a:xfrm>
          <a:off x="13314045" y="3960495"/>
          <a:ext cx="142875" cy="18478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152400</xdr:colOff>
      <xdr:row>24</xdr:row>
      <xdr:rowOff>95250</xdr:rowOff>
    </xdr:from>
    <xdr:to>
      <xdr:col>11</xdr:col>
      <xdr:colOff>295275</xdr:colOff>
      <xdr:row>25</xdr:row>
      <xdr:rowOff>104775</xdr:rowOff>
    </xdr:to>
    <xdr:sp macro="" textlink="">
      <xdr:nvSpPr>
        <xdr:cNvPr id="21" name="Oval 20">
          <a:extLst>
            <a:ext uri="{FF2B5EF4-FFF2-40B4-BE49-F238E27FC236}">
              <a16:creationId xmlns:a16="http://schemas.microsoft.com/office/drawing/2014/main" id="{4AD52F5D-69D1-46C0-B0F6-7F2782B28761}"/>
            </a:ext>
          </a:extLst>
        </xdr:cNvPr>
        <xdr:cNvSpPr/>
      </xdr:nvSpPr>
      <xdr:spPr>
        <a:xfrm>
          <a:off x="13304520" y="4309110"/>
          <a:ext cx="142875" cy="19240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161925</xdr:colOff>
      <xdr:row>26</xdr:row>
      <xdr:rowOff>85725</xdr:rowOff>
    </xdr:from>
    <xdr:to>
      <xdr:col>11</xdr:col>
      <xdr:colOff>304800</xdr:colOff>
      <xdr:row>27</xdr:row>
      <xdr:rowOff>95250</xdr:rowOff>
    </xdr:to>
    <xdr:sp macro="" textlink="">
      <xdr:nvSpPr>
        <xdr:cNvPr id="22" name="Oval 21">
          <a:extLst>
            <a:ext uri="{FF2B5EF4-FFF2-40B4-BE49-F238E27FC236}">
              <a16:creationId xmlns:a16="http://schemas.microsoft.com/office/drawing/2014/main" id="{8D3C2417-AC76-4BA5-A340-E1F0DB40F7CF}"/>
            </a:ext>
          </a:extLst>
        </xdr:cNvPr>
        <xdr:cNvSpPr/>
      </xdr:nvSpPr>
      <xdr:spPr>
        <a:xfrm>
          <a:off x="13314045" y="4665345"/>
          <a:ext cx="142875" cy="19240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161925</xdr:colOff>
      <xdr:row>28</xdr:row>
      <xdr:rowOff>38100</xdr:rowOff>
    </xdr:from>
    <xdr:to>
      <xdr:col>11</xdr:col>
      <xdr:colOff>304800</xdr:colOff>
      <xdr:row>29</xdr:row>
      <xdr:rowOff>38100</xdr:rowOff>
    </xdr:to>
    <xdr:sp macro="" textlink="">
      <xdr:nvSpPr>
        <xdr:cNvPr id="23" name="Oval 22">
          <a:extLst>
            <a:ext uri="{FF2B5EF4-FFF2-40B4-BE49-F238E27FC236}">
              <a16:creationId xmlns:a16="http://schemas.microsoft.com/office/drawing/2014/main" id="{A76CB92E-49BF-442B-8906-56FE1518EF25}"/>
            </a:ext>
          </a:extLst>
        </xdr:cNvPr>
        <xdr:cNvSpPr/>
      </xdr:nvSpPr>
      <xdr:spPr>
        <a:xfrm>
          <a:off x="13314045" y="4983480"/>
          <a:ext cx="142875" cy="1905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142875</xdr:colOff>
      <xdr:row>22</xdr:row>
      <xdr:rowOff>171450</xdr:rowOff>
    </xdr:from>
    <xdr:to>
      <xdr:col>12</xdr:col>
      <xdr:colOff>285750</xdr:colOff>
      <xdr:row>23</xdr:row>
      <xdr:rowOff>180975</xdr:rowOff>
    </xdr:to>
    <xdr:sp macro="" textlink="">
      <xdr:nvSpPr>
        <xdr:cNvPr id="24" name="Oval 23">
          <a:extLst>
            <a:ext uri="{FF2B5EF4-FFF2-40B4-BE49-F238E27FC236}">
              <a16:creationId xmlns:a16="http://schemas.microsoft.com/office/drawing/2014/main" id="{36D57DF3-6582-4D31-8221-F2BDCED4CDFA}"/>
            </a:ext>
          </a:extLst>
        </xdr:cNvPr>
        <xdr:cNvSpPr/>
      </xdr:nvSpPr>
      <xdr:spPr>
        <a:xfrm>
          <a:off x="13904595" y="4027170"/>
          <a:ext cx="142875" cy="18478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114300</xdr:colOff>
      <xdr:row>24</xdr:row>
      <xdr:rowOff>123825</xdr:rowOff>
    </xdr:from>
    <xdr:to>
      <xdr:col>12</xdr:col>
      <xdr:colOff>257175</xdr:colOff>
      <xdr:row>25</xdr:row>
      <xdr:rowOff>133350</xdr:rowOff>
    </xdr:to>
    <xdr:sp macro="" textlink="">
      <xdr:nvSpPr>
        <xdr:cNvPr id="25" name="Oval 24">
          <a:extLst>
            <a:ext uri="{FF2B5EF4-FFF2-40B4-BE49-F238E27FC236}">
              <a16:creationId xmlns:a16="http://schemas.microsoft.com/office/drawing/2014/main" id="{330A3A52-8A08-4C71-B672-B6F3BDB6ADDA}"/>
            </a:ext>
          </a:extLst>
        </xdr:cNvPr>
        <xdr:cNvSpPr/>
      </xdr:nvSpPr>
      <xdr:spPr>
        <a:xfrm>
          <a:off x="13876020" y="4337685"/>
          <a:ext cx="142875" cy="19240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114300</xdr:colOff>
      <xdr:row>26</xdr:row>
      <xdr:rowOff>114300</xdr:rowOff>
    </xdr:from>
    <xdr:to>
      <xdr:col>12</xdr:col>
      <xdr:colOff>257175</xdr:colOff>
      <xdr:row>27</xdr:row>
      <xdr:rowOff>123825</xdr:rowOff>
    </xdr:to>
    <xdr:sp macro="" textlink="">
      <xdr:nvSpPr>
        <xdr:cNvPr id="26" name="Oval 25">
          <a:extLst>
            <a:ext uri="{FF2B5EF4-FFF2-40B4-BE49-F238E27FC236}">
              <a16:creationId xmlns:a16="http://schemas.microsoft.com/office/drawing/2014/main" id="{C0A125C0-3D80-43CB-82B2-1EE34A2BE5F8}"/>
            </a:ext>
          </a:extLst>
        </xdr:cNvPr>
        <xdr:cNvSpPr/>
      </xdr:nvSpPr>
      <xdr:spPr>
        <a:xfrm>
          <a:off x="13876020" y="4693920"/>
          <a:ext cx="142875" cy="19240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123825</xdr:colOff>
      <xdr:row>28</xdr:row>
      <xdr:rowOff>66675</xdr:rowOff>
    </xdr:from>
    <xdr:to>
      <xdr:col>12</xdr:col>
      <xdr:colOff>266700</xdr:colOff>
      <xdr:row>29</xdr:row>
      <xdr:rowOff>66675</xdr:rowOff>
    </xdr:to>
    <xdr:sp macro="" textlink="">
      <xdr:nvSpPr>
        <xdr:cNvPr id="27" name="Oval 26">
          <a:extLst>
            <a:ext uri="{FF2B5EF4-FFF2-40B4-BE49-F238E27FC236}">
              <a16:creationId xmlns:a16="http://schemas.microsoft.com/office/drawing/2014/main" id="{B279D6BF-8BBF-425A-96C1-9AFEF43B4431}"/>
            </a:ext>
          </a:extLst>
        </xdr:cNvPr>
        <xdr:cNvSpPr/>
      </xdr:nvSpPr>
      <xdr:spPr>
        <a:xfrm>
          <a:off x="13885545" y="5012055"/>
          <a:ext cx="142875" cy="1905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hyperlink" Target="mailto:mm@" TargetMode="External"/><Relationship Id="rId1" Type="http://schemas.openxmlformats.org/officeDocument/2006/relationships/hyperlink" Target="mailto:m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DEB62-6AEF-4AA9-B56B-CF6A3457B506}">
  <dimension ref="A1:K97"/>
  <sheetViews>
    <sheetView topLeftCell="A51" zoomScale="55" zoomScaleNormal="55" workbookViewId="0">
      <selection activeCell="R90" sqref="R90"/>
    </sheetView>
  </sheetViews>
  <sheetFormatPr defaultRowHeight="14.5" x14ac:dyDescent="0.35"/>
  <cols>
    <col min="1" max="1" width="36.08984375" customWidth="1"/>
    <col min="2" max="2" width="13" customWidth="1"/>
    <col min="3" max="3" width="11.6328125" customWidth="1"/>
    <col min="4" max="4" width="11" customWidth="1"/>
    <col min="6" max="6" width="19.6328125" customWidth="1"/>
    <col min="7" max="7" width="30.08984375" customWidth="1"/>
    <col min="8" max="8" width="12.08984375" customWidth="1"/>
    <col min="9" max="9" width="10.453125" customWidth="1"/>
    <col min="18" max="20" width="8.7265625" customWidth="1"/>
  </cols>
  <sheetData>
    <row r="1" spans="1:11" ht="15" thickBot="1" x14ac:dyDescent="0.4">
      <c r="A1" s="1" t="s">
        <v>0</v>
      </c>
      <c r="B1" s="2"/>
      <c r="C1" s="188" t="s">
        <v>1</v>
      </c>
      <c r="D1" s="189"/>
      <c r="E1" s="189"/>
      <c r="F1" s="189"/>
      <c r="G1" s="189"/>
      <c r="H1" s="189"/>
      <c r="I1" s="189"/>
      <c r="J1" s="190"/>
    </row>
    <row r="2" spans="1:11" x14ac:dyDescent="0.35">
      <c r="A2" s="3" t="s">
        <v>2</v>
      </c>
      <c r="B2">
        <v>900</v>
      </c>
      <c r="D2" s="4" t="s">
        <v>3</v>
      </c>
      <c r="F2" s="5"/>
      <c r="G2" s="6" t="s">
        <v>4</v>
      </c>
      <c r="H2" s="7"/>
      <c r="K2" s="8"/>
    </row>
    <row r="3" spans="1:11" x14ac:dyDescent="0.35">
      <c r="A3" s="3" t="s">
        <v>5</v>
      </c>
      <c r="B3">
        <v>20</v>
      </c>
      <c r="D3" s="4" t="s">
        <v>6</v>
      </c>
      <c r="F3" s="9"/>
      <c r="G3" s="10" t="s">
        <v>7</v>
      </c>
      <c r="H3">
        <v>400</v>
      </c>
      <c r="I3" s="11" t="s">
        <v>8</v>
      </c>
      <c r="J3">
        <v>0.4</v>
      </c>
      <c r="K3" s="4" t="s">
        <v>9</v>
      </c>
    </row>
    <row r="4" spans="1:11" x14ac:dyDescent="0.35">
      <c r="A4" s="3" t="s">
        <v>10</v>
      </c>
      <c r="B4">
        <v>15</v>
      </c>
      <c r="D4" s="4" t="s">
        <v>6</v>
      </c>
      <c r="F4" s="9"/>
      <c r="G4" s="10" t="s">
        <v>11</v>
      </c>
      <c r="H4">
        <v>400</v>
      </c>
      <c r="I4" s="11" t="s">
        <v>8</v>
      </c>
      <c r="J4">
        <v>0.4</v>
      </c>
      <c r="K4" s="4" t="s">
        <v>9</v>
      </c>
    </row>
    <row r="5" spans="1:11" x14ac:dyDescent="0.35">
      <c r="A5" s="3" t="s">
        <v>12</v>
      </c>
      <c r="B5">
        <v>200</v>
      </c>
      <c r="D5" s="4" t="s">
        <v>13</v>
      </c>
      <c r="F5" s="9"/>
      <c r="K5" s="12"/>
    </row>
    <row r="6" spans="1:11" x14ac:dyDescent="0.35">
      <c r="A6" s="3" t="s">
        <v>14</v>
      </c>
      <c r="B6">
        <v>25</v>
      </c>
      <c r="D6" s="4" t="s">
        <v>15</v>
      </c>
      <c r="F6" s="9"/>
      <c r="K6" s="12"/>
    </row>
    <row r="7" spans="1:11" x14ac:dyDescent="0.35">
      <c r="A7" s="3" t="s">
        <v>16</v>
      </c>
      <c r="B7">
        <v>500</v>
      </c>
      <c r="D7" s="4" t="s">
        <v>15</v>
      </c>
      <c r="F7" s="9"/>
      <c r="K7" s="12"/>
    </row>
    <row r="8" spans="1:11" x14ac:dyDescent="0.35">
      <c r="A8" s="3" t="s">
        <v>17</v>
      </c>
      <c r="B8">
        <f>10%*B2</f>
        <v>90</v>
      </c>
      <c r="D8" s="4" t="s">
        <v>3</v>
      </c>
      <c r="F8" s="9"/>
      <c r="K8" s="12"/>
    </row>
    <row r="9" spans="1:11" x14ac:dyDescent="0.35">
      <c r="A9" s="13" t="s">
        <v>18</v>
      </c>
      <c r="B9" s="14">
        <f>B2+B8</f>
        <v>990</v>
      </c>
      <c r="C9" s="14"/>
      <c r="D9" s="15" t="s">
        <v>3</v>
      </c>
      <c r="F9" s="16"/>
      <c r="G9" s="14"/>
      <c r="H9" s="14"/>
      <c r="I9" s="14"/>
      <c r="J9" s="14"/>
      <c r="K9" s="17"/>
    </row>
    <row r="12" spans="1:11" x14ac:dyDescent="0.35">
      <c r="A12" s="18" t="s">
        <v>19</v>
      </c>
      <c r="B12" s="2"/>
      <c r="C12" s="2"/>
      <c r="D12" s="8"/>
      <c r="F12" s="19"/>
      <c r="G12" s="2"/>
      <c r="H12" s="2"/>
      <c r="I12" s="2"/>
      <c r="J12" s="2"/>
      <c r="K12" s="8"/>
    </row>
    <row r="13" spans="1:11" x14ac:dyDescent="0.35">
      <c r="A13" s="3" t="s">
        <v>20</v>
      </c>
      <c r="B13">
        <f>B9/B5</f>
        <v>4.95</v>
      </c>
      <c r="D13" s="12"/>
      <c r="F13" s="20"/>
      <c r="G13" s="21" t="s">
        <v>21</v>
      </c>
      <c r="H13" s="22"/>
      <c r="K13" s="12"/>
    </row>
    <row r="14" spans="1:11" x14ac:dyDescent="0.35">
      <c r="A14" s="13" t="s">
        <v>22</v>
      </c>
      <c r="B14" s="23">
        <f>SQRT(B13)</f>
        <v>2.2248595461286991</v>
      </c>
      <c r="C14" s="14">
        <v>2.4</v>
      </c>
      <c r="D14" s="15" t="s">
        <v>23</v>
      </c>
      <c r="F14" s="3" t="s">
        <v>24</v>
      </c>
      <c r="G14" s="10">
        <v>2.4</v>
      </c>
      <c r="H14">
        <v>2400</v>
      </c>
      <c r="J14" s="11" t="s">
        <v>8</v>
      </c>
      <c r="K14" s="12"/>
    </row>
    <row r="15" spans="1:11" x14ac:dyDescent="0.35">
      <c r="F15" s="13" t="s">
        <v>25</v>
      </c>
      <c r="G15" s="24">
        <v>2.4</v>
      </c>
      <c r="H15" s="14">
        <v>2400</v>
      </c>
      <c r="I15" s="14"/>
      <c r="J15" s="25" t="s">
        <v>8</v>
      </c>
      <c r="K15" s="17"/>
    </row>
    <row r="19" spans="1:11" x14ac:dyDescent="0.35">
      <c r="A19" s="26" t="s">
        <v>26</v>
      </c>
      <c r="B19" s="2"/>
      <c r="C19" s="2"/>
      <c r="D19" s="8"/>
      <c r="F19" s="27" t="s">
        <v>27</v>
      </c>
      <c r="G19" s="28" t="s">
        <v>28</v>
      </c>
      <c r="H19" s="28"/>
      <c r="I19" s="2"/>
      <c r="J19" s="2"/>
      <c r="K19" s="8"/>
    </row>
    <row r="20" spans="1:11" x14ac:dyDescent="0.35">
      <c r="A20" s="3" t="s">
        <v>20</v>
      </c>
      <c r="B20">
        <f>G14*G15</f>
        <v>5.76</v>
      </c>
      <c r="D20" s="4" t="s">
        <v>29</v>
      </c>
      <c r="F20" s="9"/>
      <c r="G20" s="10" t="s">
        <v>30</v>
      </c>
      <c r="K20" s="12"/>
    </row>
    <row r="21" spans="1:11" x14ac:dyDescent="0.35">
      <c r="A21" s="3" t="s">
        <v>31</v>
      </c>
      <c r="B21">
        <f>G14*G15^2/6</f>
        <v>2.3039999999999998</v>
      </c>
      <c r="D21" s="4" t="s">
        <v>32</v>
      </c>
      <c r="F21" s="9"/>
      <c r="G21" s="10" t="s">
        <v>33</v>
      </c>
      <c r="H21">
        <v>0.13300000000000001</v>
      </c>
      <c r="K21" s="12"/>
    </row>
    <row r="22" spans="1:11" x14ac:dyDescent="0.35">
      <c r="A22" s="3" t="s">
        <v>34</v>
      </c>
      <c r="B22">
        <f>B9/B20</f>
        <v>171.875</v>
      </c>
      <c r="C22">
        <v>0.19</v>
      </c>
      <c r="D22" s="4" t="s">
        <v>35</v>
      </c>
      <c r="F22" s="9"/>
      <c r="G22" s="29" t="s">
        <v>36</v>
      </c>
      <c r="H22">
        <v>0.32</v>
      </c>
      <c r="J22" t="s">
        <v>35</v>
      </c>
      <c r="K22" s="12"/>
    </row>
    <row r="23" spans="1:11" x14ac:dyDescent="0.35">
      <c r="A23" s="3" t="s">
        <v>37</v>
      </c>
      <c r="B23">
        <f>B9/B20+B3/B21+B4/B21</f>
        <v>187.0659722222222</v>
      </c>
      <c r="C23">
        <v>200</v>
      </c>
      <c r="D23" s="4" t="s">
        <v>38</v>
      </c>
      <c r="F23" s="9"/>
      <c r="G23" s="10" t="s">
        <v>39</v>
      </c>
      <c r="H23">
        <f>C22*(H14-H3)^2/8</f>
        <v>95000</v>
      </c>
      <c r="I23" s="11" t="s">
        <v>40</v>
      </c>
      <c r="J23" s="11" t="s">
        <v>41</v>
      </c>
      <c r="K23" s="12"/>
    </row>
    <row r="24" spans="1:11" x14ac:dyDescent="0.35">
      <c r="A24" s="3" t="s">
        <v>42</v>
      </c>
      <c r="B24">
        <f>B9/B20-B3/B21-B4/B21</f>
        <v>156.6840277777778</v>
      </c>
      <c r="D24" s="4" t="s">
        <v>38</v>
      </c>
      <c r="F24" s="9"/>
      <c r="G24" s="10" t="s">
        <v>43</v>
      </c>
      <c r="H24">
        <f>SQRT(H22/H21*B6*H14)</f>
        <v>379.94855211678208</v>
      </c>
      <c r="I24">
        <v>400</v>
      </c>
      <c r="J24" s="11" t="s">
        <v>8</v>
      </c>
      <c r="K24" s="12"/>
    </row>
    <row r="25" spans="1:11" x14ac:dyDescent="0.35">
      <c r="A25" s="3" t="s">
        <v>44</v>
      </c>
      <c r="D25" s="12"/>
      <c r="F25" s="9"/>
      <c r="G25" s="10" t="s">
        <v>45</v>
      </c>
      <c r="H25">
        <f>(H4+I24)</f>
        <v>800</v>
      </c>
      <c r="K25" s="12"/>
    </row>
    <row r="26" spans="1:11" x14ac:dyDescent="0.35">
      <c r="A26" s="30" t="str">
        <f>IF(B24&lt;B5,"SAFE","unsafe")</f>
        <v>SAFE</v>
      </c>
      <c r="B26" s="14"/>
      <c r="C26" s="14"/>
      <c r="D26" s="17"/>
      <c r="F26" s="9"/>
      <c r="G26" s="10" t="s">
        <v>46</v>
      </c>
      <c r="H26">
        <f>H21*B6*H14*I24^2</f>
        <v>1276800000</v>
      </c>
      <c r="I26" s="11" t="s">
        <v>47</v>
      </c>
      <c r="J26" s="11" t="s">
        <v>41</v>
      </c>
      <c r="K26" s="12"/>
    </row>
    <row r="27" spans="1:11" x14ac:dyDescent="0.35">
      <c r="F27" s="9"/>
      <c r="G27" s="10" t="s">
        <v>48</v>
      </c>
      <c r="K27" s="12"/>
    </row>
    <row r="28" spans="1:11" x14ac:dyDescent="0.35">
      <c r="F28" s="16"/>
      <c r="G28" s="31" t="str">
        <f>IF(H23&lt;H26,"SAFE","unsafe")</f>
        <v>SAFE</v>
      </c>
      <c r="H28" s="14"/>
      <c r="I28" s="14"/>
      <c r="J28" s="14"/>
      <c r="K28" s="17"/>
    </row>
    <row r="31" spans="1:11" x14ac:dyDescent="0.35">
      <c r="A31" s="32" t="s">
        <v>49</v>
      </c>
      <c r="B31" s="2"/>
      <c r="C31" s="2"/>
      <c r="D31" s="8"/>
      <c r="F31" s="33" t="s">
        <v>50</v>
      </c>
      <c r="G31" s="34" t="s">
        <v>51</v>
      </c>
      <c r="H31" s="34"/>
      <c r="I31" s="2"/>
      <c r="J31" s="2"/>
      <c r="K31" s="8"/>
    </row>
    <row r="32" spans="1:11" x14ac:dyDescent="0.35">
      <c r="A32" s="3" t="s">
        <v>30</v>
      </c>
      <c r="D32" s="12"/>
      <c r="F32" s="9"/>
      <c r="G32" s="10" t="s">
        <v>52</v>
      </c>
      <c r="H32">
        <f>4*(H4+I24)</f>
        <v>3200</v>
      </c>
      <c r="J32" s="11" t="s">
        <v>8</v>
      </c>
      <c r="K32" s="4"/>
    </row>
    <row r="33" spans="1:11" x14ac:dyDescent="0.35">
      <c r="A33" s="3" t="s">
        <v>33</v>
      </c>
      <c r="B33">
        <v>0.13300000000000001</v>
      </c>
      <c r="D33" s="12"/>
      <c r="F33" s="9"/>
      <c r="G33" s="10" t="s">
        <v>53</v>
      </c>
      <c r="H33">
        <f>H32*I24</f>
        <v>1280000</v>
      </c>
      <c r="J33" s="11" t="s">
        <v>54</v>
      </c>
      <c r="K33" s="4"/>
    </row>
    <row r="34" spans="1:11" x14ac:dyDescent="0.35">
      <c r="A34" s="3" t="s">
        <v>55</v>
      </c>
      <c r="B34">
        <f>1*H22*H14*I24</f>
        <v>307200</v>
      </c>
      <c r="D34" s="12"/>
      <c r="F34" s="9"/>
      <c r="G34" s="10" t="s">
        <v>56</v>
      </c>
      <c r="H34">
        <f>C22*((H14*H15/H33)-(H25*H25/H33))</f>
        <v>0.76</v>
      </c>
      <c r="J34" s="11" t="s">
        <v>35</v>
      </c>
      <c r="K34" s="4"/>
    </row>
    <row r="35" spans="1:11" x14ac:dyDescent="0.35">
      <c r="A35" s="3" t="s">
        <v>57</v>
      </c>
      <c r="B35">
        <f>H14/2-H3/2</f>
        <v>1000</v>
      </c>
      <c r="D35" s="12"/>
      <c r="F35" s="9"/>
      <c r="G35" s="29" t="s">
        <v>58</v>
      </c>
      <c r="H35">
        <f>(SQRT(B6)*0.25)</f>
        <v>1.25</v>
      </c>
      <c r="J35" s="11" t="s">
        <v>35</v>
      </c>
      <c r="K35" s="4"/>
    </row>
    <row r="36" spans="1:11" x14ac:dyDescent="0.35">
      <c r="A36" s="3" t="s">
        <v>59</v>
      </c>
      <c r="B36">
        <f>C22*H14*(B35-I24)</f>
        <v>273600</v>
      </c>
      <c r="D36" s="12"/>
      <c r="F36" s="9"/>
      <c r="G36" s="29" t="s">
        <v>60</v>
      </c>
      <c r="K36" s="12"/>
    </row>
    <row r="37" spans="1:11" x14ac:dyDescent="0.35">
      <c r="A37" s="35" t="s">
        <v>61</v>
      </c>
      <c r="B37" s="36">
        <f>B36/(H14*I24)</f>
        <v>0.28499999999999998</v>
      </c>
      <c r="D37" s="12"/>
      <c r="F37" s="9"/>
      <c r="G37" s="37" t="str">
        <f>IF(H22&lt;H35,"sufficient ","unsufficient")</f>
        <v xml:space="preserve">sufficient </v>
      </c>
      <c r="K37" s="12"/>
    </row>
    <row r="38" spans="1:11" x14ac:dyDescent="0.35">
      <c r="A38" s="35" t="s">
        <v>62</v>
      </c>
      <c r="D38" s="12"/>
      <c r="F38" s="9"/>
      <c r="K38" s="12"/>
    </row>
    <row r="39" spans="1:11" x14ac:dyDescent="0.35">
      <c r="A39" s="38" t="str">
        <f>IF(B37&lt;H22,"SAFE","UNSAFE")</f>
        <v>SAFE</v>
      </c>
      <c r="B39" s="14"/>
      <c r="C39" s="14"/>
      <c r="D39" s="17"/>
      <c r="F39" s="16"/>
      <c r="G39" s="14"/>
      <c r="H39" s="14"/>
      <c r="I39" s="14"/>
      <c r="J39" s="14"/>
      <c r="K39" s="17"/>
    </row>
    <row r="41" spans="1:11" x14ac:dyDescent="0.35">
      <c r="A41" s="39" t="s">
        <v>63</v>
      </c>
      <c r="B41" s="2"/>
      <c r="C41" s="2"/>
      <c r="D41" s="8"/>
      <c r="F41" s="40" t="s">
        <v>64</v>
      </c>
      <c r="G41" s="41" t="s">
        <v>65</v>
      </c>
      <c r="H41" s="41"/>
      <c r="I41" s="2"/>
      <c r="J41" s="2"/>
      <c r="K41" s="8"/>
    </row>
    <row r="42" spans="1:11" x14ac:dyDescent="0.35">
      <c r="A42" s="3" t="s">
        <v>66</v>
      </c>
      <c r="B42">
        <v>12</v>
      </c>
      <c r="D42" s="12"/>
      <c r="F42" s="9"/>
      <c r="G42" s="29" t="s">
        <v>67</v>
      </c>
      <c r="H42">
        <v>2.2400000000000002</v>
      </c>
      <c r="K42" s="12"/>
    </row>
    <row r="43" spans="1:11" x14ac:dyDescent="0.35">
      <c r="A43" s="3" t="s">
        <v>68</v>
      </c>
      <c r="B43">
        <f>(3.14/4)*B42^2</f>
        <v>113.04</v>
      </c>
      <c r="C43">
        <v>113</v>
      </c>
      <c r="D43" s="12"/>
      <c r="F43" s="9"/>
      <c r="G43" s="10" t="s">
        <v>69</v>
      </c>
      <c r="H43">
        <f>(0.87*B7*B42)/(4*H42)</f>
        <v>582.58928571428567</v>
      </c>
      <c r="K43" s="12"/>
    </row>
    <row r="44" spans="1:11" x14ac:dyDescent="0.35">
      <c r="A44" s="3" t="s">
        <v>31</v>
      </c>
      <c r="B44">
        <f>0.807*I24</f>
        <v>322.8</v>
      </c>
      <c r="D44" s="4" t="s">
        <v>54</v>
      </c>
      <c r="F44" s="9"/>
      <c r="G44" s="10" t="s">
        <v>70</v>
      </c>
      <c r="H44">
        <f>(H14-H3)/2</f>
        <v>1000</v>
      </c>
      <c r="K44" s="12"/>
    </row>
    <row r="45" spans="1:11" x14ac:dyDescent="0.35">
      <c r="A45" s="3" t="s">
        <v>71</v>
      </c>
      <c r="B45">
        <f>(H23*10^3)/(0.87*B7*B44)</f>
        <v>676.55143927416714</v>
      </c>
      <c r="D45" s="12"/>
      <c r="F45" s="9"/>
      <c r="G45" s="10" t="s">
        <v>72</v>
      </c>
      <c r="K45" s="12"/>
    </row>
    <row r="46" spans="1:11" x14ac:dyDescent="0.35">
      <c r="A46" s="35" t="s">
        <v>73</v>
      </c>
      <c r="B46">
        <f>B45/((3.14/4)*(B42^2))</f>
        <v>5.9850622724183218</v>
      </c>
      <c r="C46">
        <v>6</v>
      </c>
      <c r="D46" s="12"/>
      <c r="F46" s="9"/>
      <c r="G46" s="42" t="str">
        <f>IF(G44&gt;G43,"SAFE","unsafe")</f>
        <v>SAFE</v>
      </c>
      <c r="K46" s="12"/>
    </row>
    <row r="47" spans="1:11" x14ac:dyDescent="0.35">
      <c r="A47" s="35" t="s">
        <v>74</v>
      </c>
      <c r="B47">
        <f>(3.14/4)*C46*B42^2</f>
        <v>678.24</v>
      </c>
      <c r="D47" s="12"/>
      <c r="F47" s="9"/>
      <c r="K47" s="12"/>
    </row>
    <row r="48" spans="1:11" x14ac:dyDescent="0.35">
      <c r="A48" s="35" t="s">
        <v>75</v>
      </c>
      <c r="B48">
        <f>(C43*1000)/B45</f>
        <v>167.02351578947369</v>
      </c>
      <c r="C48">
        <v>167</v>
      </c>
      <c r="D48" s="4" t="s">
        <v>76</v>
      </c>
      <c r="F48" s="9"/>
      <c r="K48" s="12"/>
    </row>
    <row r="49" spans="1:11" x14ac:dyDescent="0.35">
      <c r="A49" s="43" t="s">
        <v>77</v>
      </c>
      <c r="B49" s="14"/>
      <c r="C49" s="14"/>
      <c r="D49" s="17"/>
      <c r="F49" s="16"/>
      <c r="G49" s="14"/>
      <c r="H49" s="14"/>
      <c r="I49" s="14"/>
      <c r="J49" s="14"/>
      <c r="K49" s="17"/>
    </row>
    <row r="51" spans="1:11" ht="15" thickBot="1" x14ac:dyDescent="0.4"/>
    <row r="52" spans="1:11" x14ac:dyDescent="0.35">
      <c r="A52" s="44" t="s">
        <v>78</v>
      </c>
      <c r="B52" s="2"/>
      <c r="C52" s="2"/>
      <c r="D52" s="8"/>
      <c r="F52" s="45" t="s">
        <v>79</v>
      </c>
      <c r="G52" s="46" t="s">
        <v>80</v>
      </c>
      <c r="H52" s="47"/>
    </row>
    <row r="53" spans="1:11" x14ac:dyDescent="0.35">
      <c r="A53" s="3" t="s">
        <v>81</v>
      </c>
      <c r="D53" s="12"/>
      <c r="F53" s="48" t="s">
        <v>24</v>
      </c>
      <c r="G53" s="49">
        <f>H14</f>
        <v>2400</v>
      </c>
      <c r="H53" s="50"/>
    </row>
    <row r="54" spans="1:11" x14ac:dyDescent="0.35">
      <c r="A54" s="3" t="s">
        <v>82</v>
      </c>
      <c r="B54">
        <f>(2*2*I24)+H4</f>
        <v>2000</v>
      </c>
      <c r="C54">
        <v>2</v>
      </c>
      <c r="D54" s="4" t="s">
        <v>9</v>
      </c>
      <c r="F54" s="48" t="s">
        <v>25</v>
      </c>
      <c r="G54" s="49">
        <f>H15</f>
        <v>2400</v>
      </c>
      <c r="H54" s="50"/>
    </row>
    <row r="55" spans="1:11" x14ac:dyDescent="0.35">
      <c r="A55" s="3" t="s">
        <v>83</v>
      </c>
      <c r="B55">
        <f>C54*C54</f>
        <v>4</v>
      </c>
      <c r="D55" s="4" t="s">
        <v>29</v>
      </c>
      <c r="F55" s="48" t="s">
        <v>84</v>
      </c>
      <c r="G55" s="49">
        <f>B5</f>
        <v>200</v>
      </c>
      <c r="H55" s="50"/>
    </row>
    <row r="56" spans="1:11" x14ac:dyDescent="0.35">
      <c r="A56" s="3" t="s">
        <v>85</v>
      </c>
      <c r="B56">
        <f>(J3*J4)</f>
        <v>0.16000000000000003</v>
      </c>
      <c r="D56" s="4" t="s">
        <v>29</v>
      </c>
      <c r="F56" s="48" t="s">
        <v>42</v>
      </c>
      <c r="G56" s="49">
        <f>B24</f>
        <v>156.6840277777778</v>
      </c>
      <c r="H56" s="50"/>
    </row>
    <row r="57" spans="1:11" x14ac:dyDescent="0.35">
      <c r="A57" s="3" t="s">
        <v>86</v>
      </c>
      <c r="B57">
        <v>2</v>
      </c>
      <c r="D57" s="12"/>
      <c r="F57" s="48" t="s">
        <v>37</v>
      </c>
      <c r="G57" s="49">
        <f>C23</f>
        <v>200</v>
      </c>
      <c r="H57" s="50"/>
    </row>
    <row r="58" spans="1:11" x14ac:dyDescent="0.35">
      <c r="A58" s="3" t="s">
        <v>87</v>
      </c>
      <c r="B58">
        <f>0.45*B6*B57</f>
        <v>22.5</v>
      </c>
      <c r="D58" s="4" t="s">
        <v>35</v>
      </c>
      <c r="F58" s="48" t="s">
        <v>88</v>
      </c>
      <c r="G58" s="49">
        <f>I24</f>
        <v>400</v>
      </c>
      <c r="H58" s="50"/>
    </row>
    <row r="59" spans="1:11" x14ac:dyDescent="0.35">
      <c r="A59" s="3" t="s">
        <v>89</v>
      </c>
      <c r="B59">
        <f>(B9*10^3)/(H3*H4)</f>
        <v>6.1875</v>
      </c>
      <c r="D59" s="4" t="s">
        <v>35</v>
      </c>
      <c r="F59" s="48" t="s">
        <v>90</v>
      </c>
      <c r="G59" s="49">
        <f>B42</f>
        <v>12</v>
      </c>
      <c r="H59" s="50"/>
    </row>
    <row r="60" spans="1:11" x14ac:dyDescent="0.35">
      <c r="A60" s="9" t="s">
        <v>91</v>
      </c>
      <c r="D60" s="12"/>
      <c r="F60" s="48" t="s">
        <v>92</v>
      </c>
      <c r="G60" s="49">
        <f>B45</f>
        <v>676.55143927416714</v>
      </c>
      <c r="H60" s="50"/>
    </row>
    <row r="61" spans="1:11" ht="15" thickBot="1" x14ac:dyDescent="0.4">
      <c r="A61" s="30" t="str">
        <f>IF(B59&lt;B58,"SAFE","unsafe")</f>
        <v>SAFE</v>
      </c>
      <c r="B61" s="14"/>
      <c r="C61" s="14"/>
      <c r="D61" s="17"/>
      <c r="F61" s="51" t="s">
        <v>93</v>
      </c>
      <c r="G61" s="52">
        <f>B59</f>
        <v>6.1875</v>
      </c>
      <c r="H61" s="53"/>
    </row>
    <row r="78" spans="1:10" ht="18.5" x14ac:dyDescent="0.45">
      <c r="A78" s="234"/>
      <c r="B78" s="234"/>
      <c r="C78" s="234"/>
      <c r="D78" s="234"/>
      <c r="E78" s="234"/>
      <c r="F78" s="234"/>
      <c r="G78" s="234"/>
      <c r="H78" s="234"/>
      <c r="I78" s="234"/>
      <c r="J78" s="234"/>
    </row>
    <row r="79" spans="1:10" ht="18.5" x14ac:dyDescent="0.45">
      <c r="A79" s="234"/>
      <c r="B79" s="234"/>
      <c r="C79" s="234"/>
      <c r="D79" s="234"/>
      <c r="E79" s="234"/>
      <c r="F79" s="234"/>
      <c r="G79" s="234"/>
      <c r="H79" s="234"/>
      <c r="I79" s="234"/>
      <c r="J79" s="234"/>
    </row>
    <row r="80" spans="1:10" ht="18.5" x14ac:dyDescent="0.45">
      <c r="A80" s="234"/>
      <c r="B80" s="234"/>
      <c r="C80" s="234"/>
      <c r="D80" s="234"/>
      <c r="E80" s="234"/>
      <c r="F80" s="234"/>
      <c r="G80" s="234"/>
      <c r="H80" s="234"/>
      <c r="I80" s="234"/>
      <c r="J80" s="234"/>
    </row>
    <row r="81" spans="1:10" ht="18.5" x14ac:dyDescent="0.45">
      <c r="A81" s="234"/>
      <c r="B81" s="234"/>
      <c r="C81" s="234"/>
      <c r="D81" s="234"/>
      <c r="E81" s="234"/>
      <c r="F81" s="234"/>
      <c r="G81" s="234"/>
      <c r="H81" s="234"/>
      <c r="I81" s="234"/>
      <c r="J81" s="234"/>
    </row>
    <row r="82" spans="1:10" ht="18.5" x14ac:dyDescent="0.45">
      <c r="A82" s="234"/>
      <c r="B82" s="234"/>
      <c r="C82" s="234"/>
      <c r="D82" s="234"/>
      <c r="E82" s="234"/>
      <c r="F82" s="234"/>
      <c r="G82" s="234"/>
      <c r="H82" s="234"/>
      <c r="I82" s="234"/>
      <c r="J82" s="234"/>
    </row>
    <row r="83" spans="1:10" ht="18.5" x14ac:dyDescent="0.45">
      <c r="A83" s="234"/>
      <c r="B83" s="234"/>
      <c r="C83" s="234"/>
      <c r="D83" s="234"/>
      <c r="E83" s="234"/>
      <c r="F83" s="234"/>
      <c r="G83" s="234"/>
      <c r="H83" s="234"/>
      <c r="I83" s="234"/>
      <c r="J83" s="234"/>
    </row>
    <row r="84" spans="1:10" ht="18.5" x14ac:dyDescent="0.45">
      <c r="A84" s="234"/>
      <c r="B84" s="234"/>
      <c r="C84" s="234"/>
      <c r="D84" s="234"/>
      <c r="E84" s="234"/>
      <c r="F84" s="234"/>
      <c r="G84" s="234"/>
      <c r="H84" s="234"/>
      <c r="I84" s="234"/>
      <c r="J84" s="234"/>
    </row>
    <row r="85" spans="1:10" ht="18.5" x14ac:dyDescent="0.45">
      <c r="A85" s="234"/>
      <c r="B85" s="234"/>
      <c r="C85" s="234"/>
      <c r="D85" s="234"/>
      <c r="E85" s="234"/>
      <c r="F85" s="234"/>
      <c r="G85" s="234"/>
      <c r="H85" s="234"/>
      <c r="I85" s="234"/>
      <c r="J85" s="234"/>
    </row>
    <row r="86" spans="1:10" ht="18.5" x14ac:dyDescent="0.45">
      <c r="A86" s="234"/>
      <c r="B86" s="234"/>
      <c r="C86" s="234"/>
      <c r="D86" s="234"/>
      <c r="E86" s="234"/>
      <c r="F86" s="234"/>
      <c r="G86" s="234"/>
      <c r="H86" s="234" t="s">
        <v>662</v>
      </c>
      <c r="I86" s="234"/>
      <c r="J86" s="234"/>
    </row>
    <row r="87" spans="1:10" ht="18.5" x14ac:dyDescent="0.45">
      <c r="A87" s="234"/>
      <c r="B87" s="234"/>
      <c r="C87" s="234"/>
      <c r="D87" s="234"/>
      <c r="E87" s="234"/>
      <c r="F87" s="234"/>
      <c r="G87" s="234"/>
      <c r="H87" s="234"/>
      <c r="I87" s="234"/>
      <c r="J87" s="234"/>
    </row>
    <row r="88" spans="1:10" ht="18.5" x14ac:dyDescent="0.45">
      <c r="A88" s="234"/>
      <c r="B88" s="234"/>
      <c r="C88" s="234"/>
      <c r="D88" s="234"/>
      <c r="E88" s="234"/>
      <c r="F88" s="234"/>
      <c r="G88" s="234"/>
      <c r="H88" s="234"/>
      <c r="I88" s="234"/>
      <c r="J88" s="234"/>
    </row>
    <row r="89" spans="1:10" ht="18.5" x14ac:dyDescent="0.45">
      <c r="A89" s="234"/>
      <c r="B89" s="234"/>
      <c r="C89" s="234"/>
      <c r="D89" s="234"/>
      <c r="E89" s="234"/>
      <c r="F89" s="234"/>
      <c r="G89" s="234"/>
      <c r="H89" s="234"/>
      <c r="I89" s="234"/>
      <c r="J89" s="234"/>
    </row>
    <row r="90" spans="1:10" ht="18.5" x14ac:dyDescent="0.45">
      <c r="A90" s="234"/>
      <c r="B90" s="234"/>
      <c r="C90" s="234"/>
      <c r="D90" s="234"/>
      <c r="E90" s="234"/>
      <c r="F90" s="234"/>
      <c r="G90" s="234"/>
      <c r="H90" s="234"/>
      <c r="I90" s="234"/>
      <c r="J90" s="234"/>
    </row>
    <row r="91" spans="1:10" ht="18.5" x14ac:dyDescent="0.45">
      <c r="A91" s="234"/>
      <c r="B91" s="234"/>
      <c r="C91" s="234"/>
      <c r="D91" s="234"/>
      <c r="E91" s="234"/>
      <c r="F91" s="234"/>
      <c r="G91" s="234"/>
      <c r="H91" s="234"/>
      <c r="I91" s="234"/>
      <c r="J91" s="234"/>
    </row>
    <row r="92" spans="1:10" ht="18.5" x14ac:dyDescent="0.45">
      <c r="A92" s="234"/>
      <c r="B92" s="234"/>
      <c r="D92" s="234"/>
      <c r="E92" s="234"/>
      <c r="F92" s="234"/>
      <c r="G92" s="234"/>
      <c r="H92" s="234"/>
      <c r="I92" s="234"/>
      <c r="J92" s="234"/>
    </row>
    <row r="93" spans="1:10" ht="18.5" x14ac:dyDescent="0.45">
      <c r="A93" s="234"/>
      <c r="B93" s="234"/>
      <c r="C93" s="234"/>
      <c r="D93" s="234"/>
      <c r="E93" s="234"/>
      <c r="F93" s="234"/>
      <c r="G93" s="234"/>
      <c r="H93" s="234"/>
      <c r="I93" s="234"/>
      <c r="J93" s="234"/>
    </row>
    <row r="94" spans="1:10" ht="18.5" x14ac:dyDescent="0.45">
      <c r="A94" s="234"/>
      <c r="B94" s="234"/>
      <c r="C94" s="234"/>
      <c r="D94" s="234"/>
      <c r="E94" s="234"/>
      <c r="F94" s="234"/>
      <c r="G94" s="234"/>
      <c r="H94" s="234"/>
      <c r="I94" s="234"/>
      <c r="J94" s="234"/>
    </row>
    <row r="95" spans="1:10" ht="19" thickBot="1" x14ac:dyDescent="0.5">
      <c r="A95" s="234"/>
      <c r="B95" s="234"/>
      <c r="C95" s="234"/>
      <c r="D95" s="234"/>
      <c r="E95" s="234"/>
      <c r="F95" s="234"/>
      <c r="G95" s="234"/>
      <c r="H95" s="234"/>
      <c r="I95" s="234"/>
      <c r="J95" s="234"/>
    </row>
    <row r="96" spans="1:10" ht="19" thickBot="1" x14ac:dyDescent="0.5">
      <c r="A96" s="234"/>
      <c r="B96" s="234"/>
      <c r="C96" s="234"/>
      <c r="D96" s="234"/>
      <c r="E96" s="234"/>
      <c r="F96" s="235">
        <f>C74</f>
        <v>0</v>
      </c>
      <c r="G96" s="236"/>
      <c r="H96" s="236"/>
      <c r="I96" s="237"/>
      <c r="J96" s="234"/>
    </row>
    <row r="97" spans="1:10" ht="18.5" x14ac:dyDescent="0.45">
      <c r="A97" s="234"/>
      <c r="B97" s="234"/>
      <c r="C97" s="234"/>
      <c r="D97" s="234"/>
      <c r="E97" s="234"/>
      <c r="F97" s="234"/>
      <c r="G97" s="234"/>
      <c r="H97" s="234"/>
      <c r="I97" s="234"/>
      <c r="J97" s="234"/>
    </row>
  </sheetData>
  <mergeCells count="2">
    <mergeCell ref="C1:J1"/>
    <mergeCell ref="F96:I9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12E66-63A0-4F45-8563-6FD439060473}">
  <dimension ref="A2:Q32"/>
  <sheetViews>
    <sheetView workbookViewId="0">
      <selection activeCell="B3" sqref="B3"/>
    </sheetView>
  </sheetViews>
  <sheetFormatPr defaultColWidth="9.08984375" defaultRowHeight="14" x14ac:dyDescent="0.3"/>
  <cols>
    <col min="1" max="1" width="26.90625" style="54" bestFit="1" customWidth="1"/>
    <col min="2" max="2" width="9.54296875" style="54" bestFit="1" customWidth="1"/>
    <col min="3" max="5" width="9.08984375" style="54"/>
    <col min="6" max="6" width="33.54296875" style="54" bestFit="1" customWidth="1"/>
    <col min="7" max="7" width="10.54296875" style="54" bestFit="1" customWidth="1"/>
    <col min="8" max="9" width="9.08984375" style="54"/>
    <col min="10" max="10" width="4.08984375" style="54" customWidth="1"/>
    <col min="11" max="11" width="35.08984375" style="54" bestFit="1" customWidth="1"/>
    <col min="12" max="12" width="12" style="54" bestFit="1" customWidth="1"/>
    <col min="13" max="13" width="7" style="54" customWidth="1"/>
    <col min="14" max="14" width="8.453125" style="54" customWidth="1"/>
    <col min="15" max="15" width="20" style="54" bestFit="1" customWidth="1"/>
    <col min="16" max="16" width="38.08984375" style="54" bestFit="1" customWidth="1"/>
    <col min="17" max="17" width="37.453125" style="54" bestFit="1" customWidth="1"/>
    <col min="18" max="16384" width="9.08984375" style="54"/>
  </cols>
  <sheetData>
    <row r="2" spans="1:17" ht="15" x14ac:dyDescent="0.3">
      <c r="A2" s="55" t="s">
        <v>94</v>
      </c>
      <c r="B2" s="56"/>
      <c r="C2" s="56"/>
      <c r="D2" s="56"/>
      <c r="E2" s="56"/>
      <c r="F2" s="55" t="s">
        <v>95</v>
      </c>
      <c r="G2" s="56"/>
      <c r="H2" s="56"/>
      <c r="I2" s="56"/>
      <c r="J2" s="56"/>
      <c r="K2" s="56"/>
      <c r="L2" s="56"/>
      <c r="M2" s="56"/>
      <c r="N2" s="56"/>
      <c r="O2" s="56"/>
      <c r="P2" s="56"/>
    </row>
    <row r="3" spans="1:17" x14ac:dyDescent="0.3">
      <c r="A3" s="56" t="s">
        <v>96</v>
      </c>
      <c r="B3" s="56">
        <v>7</v>
      </c>
      <c r="C3" s="56" t="s">
        <v>9</v>
      </c>
      <c r="D3" s="56"/>
      <c r="E3" s="56"/>
      <c r="F3" s="56" t="s">
        <v>71</v>
      </c>
      <c r="G3" s="56">
        <f>(0.5*(B5/B6))*(1-SQRT(1-((4.598*0.1338*B5)/B5)))*(B19*B18)</f>
        <v>2589.3738152413416</v>
      </c>
      <c r="H3" s="56" t="s">
        <v>97</v>
      </c>
      <c r="I3" s="56"/>
      <c r="J3" s="56"/>
      <c r="K3" s="57" t="s">
        <v>98</v>
      </c>
      <c r="L3" s="56"/>
      <c r="M3" s="56"/>
      <c r="N3" s="56"/>
      <c r="O3" s="191" t="s">
        <v>99</v>
      </c>
      <c r="P3" s="192"/>
      <c r="Q3" s="58"/>
    </row>
    <row r="4" spans="1:17" x14ac:dyDescent="0.3">
      <c r="A4" s="56" t="s">
        <v>100</v>
      </c>
      <c r="B4" s="56">
        <v>300</v>
      </c>
      <c r="C4" s="56" t="s">
        <v>8</v>
      </c>
      <c r="D4" s="56"/>
      <c r="E4" s="56"/>
      <c r="F4" s="56" t="s">
        <v>101</v>
      </c>
      <c r="G4" s="56">
        <f>(0.85/B6)*B19*B18</f>
        <v>386.45249999999999</v>
      </c>
      <c r="H4" s="56" t="s">
        <v>102</v>
      </c>
      <c r="I4" s="56"/>
      <c r="J4" s="56"/>
      <c r="K4" s="56" t="s">
        <v>103</v>
      </c>
      <c r="L4" s="56">
        <f>G4</f>
        <v>386.45249999999999</v>
      </c>
      <c r="M4" s="56" t="s">
        <v>102</v>
      </c>
      <c r="N4" s="56"/>
      <c r="O4" s="59" t="s">
        <v>104</v>
      </c>
      <c r="P4" s="60">
        <f>B17</f>
        <v>700</v>
      </c>
    </row>
    <row r="5" spans="1:17" x14ac:dyDescent="0.3">
      <c r="A5" s="56" t="s">
        <v>105</v>
      </c>
      <c r="B5" s="56">
        <v>30</v>
      </c>
      <c r="C5" s="56" t="s">
        <v>106</v>
      </c>
      <c r="D5" s="56"/>
      <c r="E5" s="56"/>
      <c r="F5" s="56" t="str">
        <f>IF(G4&lt;G3,"Okay","Cahnge d")</f>
        <v>Okay</v>
      </c>
      <c r="G5" s="56"/>
      <c r="H5" s="56"/>
      <c r="I5" s="56"/>
      <c r="J5" s="56"/>
      <c r="K5" s="56" t="s">
        <v>107</v>
      </c>
      <c r="L5" s="56">
        <f>0.04*B19*B17</f>
        <v>9800</v>
      </c>
      <c r="M5" s="56" t="s">
        <v>102</v>
      </c>
      <c r="N5" s="56"/>
      <c r="O5" s="59" t="s">
        <v>108</v>
      </c>
      <c r="P5" s="61">
        <f>B19</f>
        <v>350</v>
      </c>
    </row>
    <row r="6" spans="1:17" x14ac:dyDescent="0.3">
      <c r="A6" s="56" t="s">
        <v>109</v>
      </c>
      <c r="B6" s="56">
        <v>500</v>
      </c>
      <c r="C6" s="56" t="s">
        <v>106</v>
      </c>
      <c r="D6" s="56"/>
      <c r="E6" s="56"/>
      <c r="F6" s="56" t="s">
        <v>110</v>
      </c>
      <c r="G6" s="56">
        <f>ROUND(G3/(3.14*((B7/2)^2)),0)</f>
        <v>5</v>
      </c>
      <c r="H6" s="56"/>
      <c r="I6" s="56"/>
      <c r="J6" s="56"/>
      <c r="K6" s="62" t="str">
        <f>IF(AND(L4&lt;G3,L5&gt;G4),"Okay","No")</f>
        <v>Okay</v>
      </c>
      <c r="L6" s="56"/>
      <c r="M6" s="56"/>
      <c r="N6" s="56"/>
      <c r="O6" s="59"/>
      <c r="P6" s="61"/>
    </row>
    <row r="7" spans="1:17" x14ac:dyDescent="0.3">
      <c r="A7" s="56" t="s">
        <v>111</v>
      </c>
      <c r="B7" s="56">
        <v>25</v>
      </c>
      <c r="C7" s="56" t="s">
        <v>8</v>
      </c>
      <c r="D7" s="56"/>
      <c r="E7" s="56"/>
      <c r="F7" s="56"/>
      <c r="G7" s="56"/>
      <c r="H7" s="56"/>
      <c r="I7" s="56"/>
      <c r="J7" s="56"/>
      <c r="K7" s="56"/>
      <c r="L7" s="56"/>
      <c r="M7" s="56"/>
      <c r="N7" s="56"/>
      <c r="O7" s="59" t="s">
        <v>112</v>
      </c>
      <c r="P7" s="61">
        <f>B7</f>
        <v>25</v>
      </c>
    </row>
    <row r="8" spans="1:17" x14ac:dyDescent="0.3">
      <c r="A8" s="56" t="s">
        <v>113</v>
      </c>
      <c r="B8" s="56">
        <v>30</v>
      </c>
      <c r="C8" s="56" t="s">
        <v>8</v>
      </c>
      <c r="D8" s="56"/>
      <c r="E8" s="56"/>
      <c r="F8" s="56" t="s">
        <v>114</v>
      </c>
      <c r="G8" s="56">
        <f>(0.87*B6*G6*3.14*((B7/2)^2)/(0.36*B8*B19))</f>
        <v>282.30406746031747</v>
      </c>
      <c r="H8" s="56"/>
      <c r="I8" s="56"/>
      <c r="J8" s="56"/>
      <c r="K8" s="56"/>
      <c r="L8" s="56"/>
      <c r="M8" s="56"/>
      <c r="N8" s="56"/>
      <c r="O8" s="59" t="s">
        <v>110</v>
      </c>
      <c r="P8" s="61">
        <f>G6</f>
        <v>5</v>
      </c>
    </row>
    <row r="9" spans="1:17" x14ac:dyDescent="0.3">
      <c r="A9" s="56" t="s">
        <v>115</v>
      </c>
      <c r="B9" s="56">
        <v>8</v>
      </c>
      <c r="C9" s="56" t="s">
        <v>8</v>
      </c>
      <c r="D9" s="56"/>
      <c r="E9" s="56"/>
      <c r="F9" s="56" t="s">
        <v>116</v>
      </c>
      <c r="G9" s="56">
        <f>0.46*B18</f>
        <v>298.77000000000004</v>
      </c>
      <c r="H9" s="56"/>
      <c r="I9" s="56"/>
      <c r="J9" s="56"/>
      <c r="K9" s="57" t="s">
        <v>117</v>
      </c>
      <c r="L9" s="56"/>
      <c r="M9" s="56"/>
      <c r="N9" s="56"/>
      <c r="O9" s="59"/>
      <c r="P9" s="61"/>
    </row>
    <row r="10" spans="1:17" x14ac:dyDescent="0.3">
      <c r="A10" s="56" t="s">
        <v>118</v>
      </c>
      <c r="B10" s="56"/>
      <c r="C10" s="56"/>
      <c r="D10" s="56"/>
      <c r="E10" s="56"/>
      <c r="F10" s="63" t="str">
        <f>IF(G8&lt;G9,"Under Reinforeced Section","Over Reinforced")</f>
        <v>Under Reinforeced Section</v>
      </c>
      <c r="G10" s="56"/>
      <c r="H10" s="56"/>
      <c r="I10" s="56"/>
      <c r="J10" s="56"/>
      <c r="K10" s="56"/>
      <c r="L10" s="56"/>
      <c r="M10" s="56"/>
      <c r="N10" s="56"/>
      <c r="O10" s="64" t="s">
        <v>119</v>
      </c>
      <c r="P10" s="65" t="str">
        <f>CONCATENATE("Provid 2 legged  ",B9," mm bars at  ",G29," mm c/c")</f>
        <v>Provid 2 legged  8 mm bars at  300 mm c/c</v>
      </c>
    </row>
    <row r="11" spans="1:17" x14ac:dyDescent="0.3">
      <c r="A11" s="56" t="s">
        <v>120</v>
      </c>
      <c r="B11" s="56">
        <v>20</v>
      </c>
      <c r="C11" s="56" t="s">
        <v>121</v>
      </c>
      <c r="D11" s="56"/>
      <c r="E11" s="56"/>
      <c r="F11" s="56" t="s">
        <v>122</v>
      </c>
      <c r="G11" s="56">
        <f>(0.87*B6*G6*3.14*((B7/2)^2)*(B18-0.42*G8))/10^6</f>
        <v>566.56282592773437</v>
      </c>
      <c r="H11" s="56" t="s">
        <v>123</v>
      </c>
      <c r="I11" s="56"/>
      <c r="J11" s="56"/>
      <c r="K11" s="56" t="s">
        <v>124</v>
      </c>
      <c r="L11" s="56">
        <f>(B19*B17*B17*B17)/12</f>
        <v>10004166666.666666</v>
      </c>
      <c r="M11" s="56" t="s">
        <v>125</v>
      </c>
      <c r="N11" s="56"/>
      <c r="O11" s="56"/>
      <c r="P11" s="56"/>
    </row>
    <row r="12" spans="1:17" x14ac:dyDescent="0.3">
      <c r="A12" s="56" t="s">
        <v>126</v>
      </c>
      <c r="B12" s="56">
        <v>15</v>
      </c>
      <c r="C12" s="56" t="s">
        <v>121</v>
      </c>
      <c r="D12" s="56"/>
      <c r="E12" s="56"/>
      <c r="F12" s="63" t="str">
        <f>IF(G11&gt;B28,"Single Reinforced Section","Double Reinforced Section")</f>
        <v>Single Reinforced Section</v>
      </c>
      <c r="G12" s="56"/>
      <c r="H12" s="56"/>
      <c r="I12" s="56"/>
      <c r="J12" s="56"/>
      <c r="K12" s="56" t="s">
        <v>127</v>
      </c>
      <c r="L12" s="56">
        <f>5000*SQRT(B5)</f>
        <v>27386.127875258306</v>
      </c>
      <c r="M12" s="56" t="s">
        <v>128</v>
      </c>
      <c r="N12" s="56"/>
      <c r="O12" s="66"/>
      <c r="P12" s="66"/>
    </row>
    <row r="13" spans="1:17" x14ac:dyDescent="0.3">
      <c r="A13" s="56"/>
      <c r="B13" s="56"/>
      <c r="C13" s="56"/>
      <c r="D13" s="56"/>
      <c r="E13" s="56"/>
      <c r="F13" s="56"/>
      <c r="G13" s="56"/>
      <c r="H13" s="56"/>
      <c r="I13" s="56"/>
      <c r="J13" s="56"/>
      <c r="K13" s="56" t="s">
        <v>129</v>
      </c>
      <c r="L13" s="56">
        <f>(5/384)*((B27*(B22*1000)^4)/(L11*L12))</f>
        <v>7.074749701108396</v>
      </c>
      <c r="M13" s="56" t="s">
        <v>8</v>
      </c>
      <c r="N13" s="56"/>
      <c r="O13" s="66"/>
      <c r="P13" s="66"/>
    </row>
    <row r="14" spans="1:17" ht="15" x14ac:dyDescent="0.3">
      <c r="A14" s="55" t="s">
        <v>130</v>
      </c>
      <c r="B14" s="56"/>
      <c r="C14" s="56"/>
      <c r="D14" s="56"/>
      <c r="E14" s="56"/>
      <c r="F14" s="67" t="s">
        <v>131</v>
      </c>
      <c r="G14" s="56"/>
      <c r="H14" s="56"/>
      <c r="I14" s="56"/>
      <c r="J14" s="56"/>
      <c r="K14" s="56" t="s">
        <v>132</v>
      </c>
      <c r="L14" s="56">
        <f>(B22*1000)/250</f>
        <v>28</v>
      </c>
      <c r="M14" s="56" t="s">
        <v>8</v>
      </c>
      <c r="N14" s="56"/>
      <c r="O14" s="68"/>
      <c r="P14" s="68"/>
    </row>
    <row r="15" spans="1:17" x14ac:dyDescent="0.3">
      <c r="A15" s="56" t="s">
        <v>133</v>
      </c>
      <c r="B15" s="56">
        <v>11</v>
      </c>
      <c r="C15" s="56"/>
      <c r="D15" s="56"/>
      <c r="E15" s="56"/>
      <c r="F15" s="56" t="s">
        <v>59</v>
      </c>
      <c r="G15" s="56">
        <f>(((B3/2)-(B18/1000))/(B3/2))*B29</f>
        <v>176.73100000000002</v>
      </c>
      <c r="H15" s="56" t="s">
        <v>3</v>
      </c>
      <c r="I15" s="56"/>
      <c r="J15" s="56"/>
      <c r="K15" s="62" t="str">
        <f>IF(L14&gt;L13,"okay","Not okay ,Increase  I")</f>
        <v>okay</v>
      </c>
      <c r="L15" s="56"/>
      <c r="M15" s="56"/>
      <c r="N15" s="56"/>
      <c r="O15" s="68"/>
      <c r="P15" s="68"/>
      <c r="Q15" s="69" t="str">
        <f>CONCATENATE("D = ",P4," mm")</f>
        <v>D = 700 mm</v>
      </c>
    </row>
    <row r="16" spans="1:17" x14ac:dyDescent="0.3">
      <c r="A16" s="56" t="s">
        <v>134</v>
      </c>
      <c r="B16" s="70">
        <f>1000*(B3/B15)</f>
        <v>636.36363636363637</v>
      </c>
      <c r="C16" s="56" t="s">
        <v>8</v>
      </c>
      <c r="D16" s="56"/>
      <c r="E16" s="56"/>
      <c r="F16" s="56" t="s">
        <v>135</v>
      </c>
      <c r="G16" s="56">
        <f>G15*1000/(B17*B19)</f>
        <v>0.72135102040816335</v>
      </c>
      <c r="H16" s="56" t="s">
        <v>136</v>
      </c>
      <c r="I16" s="56"/>
      <c r="J16" s="56"/>
      <c r="K16" s="56"/>
      <c r="L16" s="56"/>
      <c r="M16" s="56"/>
      <c r="N16" s="56"/>
      <c r="O16" s="68"/>
      <c r="P16" s="68"/>
    </row>
    <row r="17" spans="1:17" x14ac:dyDescent="0.3">
      <c r="A17" s="56" t="s">
        <v>137</v>
      </c>
      <c r="B17" s="70">
        <f>ROUNDUP(B16,-2)</f>
        <v>700</v>
      </c>
      <c r="C17" s="56" t="s">
        <v>8</v>
      </c>
      <c r="D17" s="56"/>
      <c r="E17" s="56"/>
      <c r="F17" s="56" t="s">
        <v>138</v>
      </c>
      <c r="G17" s="70">
        <f>(G6*3.14*((B7/2)^2)/(B19*B18))*(100)</f>
        <v>1.0791268008358077</v>
      </c>
      <c r="H17" s="56"/>
      <c r="I17" s="56"/>
      <c r="J17" s="56"/>
      <c r="K17" s="57" t="s">
        <v>139</v>
      </c>
      <c r="L17" s="56"/>
      <c r="M17" s="56"/>
      <c r="N17" s="56"/>
      <c r="O17" s="68"/>
      <c r="P17" s="68"/>
    </row>
    <row r="18" spans="1:17" x14ac:dyDescent="0.3">
      <c r="A18" s="56" t="s">
        <v>140</v>
      </c>
      <c r="B18" s="56">
        <f>B17-B8-B9-B7/2</f>
        <v>649.5</v>
      </c>
      <c r="C18" s="56" t="s">
        <v>8</v>
      </c>
      <c r="D18" s="56"/>
      <c r="E18" s="56"/>
      <c r="F18" s="56" t="s">
        <v>141</v>
      </c>
      <c r="G18" s="56"/>
      <c r="H18" s="56"/>
      <c r="I18" s="56"/>
      <c r="J18" s="56"/>
      <c r="K18" s="56" t="str">
        <f>IF(B17&gt;750,"Provide Side Face Reinforcement","No need")</f>
        <v>No need</v>
      </c>
      <c r="L18" s="56"/>
      <c r="M18" s="56"/>
      <c r="N18" s="56"/>
      <c r="O18" s="68"/>
      <c r="P18" s="68"/>
    </row>
    <row r="19" spans="1:17" x14ac:dyDescent="0.3">
      <c r="A19" s="56" t="s">
        <v>142</v>
      </c>
      <c r="B19" s="56">
        <v>350</v>
      </c>
      <c r="C19" s="56" t="s">
        <v>8</v>
      </c>
      <c r="D19" s="56"/>
      <c r="E19" s="56"/>
      <c r="F19" s="56">
        <v>1</v>
      </c>
      <c r="G19" s="56">
        <v>0.66</v>
      </c>
      <c r="H19" s="56" t="s">
        <v>143</v>
      </c>
      <c r="I19" s="56"/>
      <c r="J19" s="56"/>
      <c r="K19" s="56"/>
      <c r="L19" s="56"/>
      <c r="M19" s="56"/>
      <c r="N19" s="56"/>
      <c r="O19" s="68"/>
      <c r="P19" s="68"/>
    </row>
    <row r="20" spans="1:17" x14ac:dyDescent="0.3">
      <c r="A20" s="56"/>
      <c r="B20" s="56"/>
      <c r="C20" s="56"/>
      <c r="D20" s="56"/>
      <c r="E20" s="56"/>
      <c r="F20" s="56">
        <v>1.25</v>
      </c>
      <c r="G20" s="56">
        <v>0.71</v>
      </c>
      <c r="H20" s="56" t="s">
        <v>143</v>
      </c>
      <c r="I20" s="56"/>
      <c r="J20" s="56"/>
      <c r="K20" s="56"/>
      <c r="L20" s="56"/>
      <c r="M20" s="56"/>
      <c r="N20" s="56"/>
      <c r="O20" s="68"/>
      <c r="P20" s="68"/>
    </row>
    <row r="21" spans="1:17" x14ac:dyDescent="0.3">
      <c r="A21" s="56" t="s">
        <v>144</v>
      </c>
      <c r="B21" s="56"/>
      <c r="C21" s="56"/>
      <c r="D21" s="56"/>
      <c r="E21" s="56"/>
      <c r="F21" s="56" t="str">
        <f>CONCATENATE("For Pt Pro   ",ROUND(G17,2),"   tou c")</f>
        <v>For Pt Pro   1.08   tou c</v>
      </c>
      <c r="G21" s="56">
        <f>ROUND(TREND(G19:G20,F19:F20,G17,1),2)</f>
        <v>0.68</v>
      </c>
      <c r="H21" s="56" t="s">
        <v>143</v>
      </c>
      <c r="I21" s="56"/>
      <c r="J21" s="56"/>
      <c r="K21" s="56">
        <f>((B19-B8*2-2*B9)/P8)</f>
        <v>54.8</v>
      </c>
      <c r="L21" s="56" t="s">
        <v>8</v>
      </c>
      <c r="M21" s="56"/>
      <c r="N21" s="56"/>
      <c r="O21" s="68"/>
      <c r="P21" s="68"/>
      <c r="Q21" s="58" t="str">
        <f>CONCATENATE("Provide ",P7,"  mm Dia , ",P8,"  No.of Bars")</f>
        <v>Provide 25  mm Dia , 5  No.of Bars</v>
      </c>
    </row>
    <row r="22" spans="1:17" x14ac:dyDescent="0.3">
      <c r="A22" s="56" t="s">
        <v>145</v>
      </c>
      <c r="B22" s="56">
        <f>B3</f>
        <v>7</v>
      </c>
      <c r="C22" s="56" t="s">
        <v>9</v>
      </c>
      <c r="D22" s="56"/>
      <c r="E22" s="56"/>
      <c r="F22" s="62" t="str">
        <f>IF(G21&lt;G16,"Provide Shear Reinforcemnet","No need")</f>
        <v>Provide Shear Reinforcemnet</v>
      </c>
      <c r="G22" s="56"/>
      <c r="H22" s="56"/>
      <c r="I22" s="56"/>
      <c r="J22" s="56"/>
      <c r="K22" s="56"/>
      <c r="L22" s="56"/>
      <c r="M22" s="56"/>
      <c r="N22" s="56"/>
      <c r="O22" s="68"/>
      <c r="P22" s="68"/>
    </row>
    <row r="23" spans="1:17" x14ac:dyDescent="0.3">
      <c r="A23" s="56" t="s">
        <v>146</v>
      </c>
      <c r="B23" s="56">
        <f>(B3)+(B18/1000)-(B4/1000)</f>
        <v>7.3494999999999999</v>
      </c>
      <c r="C23" s="56" t="s">
        <v>9</v>
      </c>
      <c r="D23" s="56"/>
      <c r="E23" s="56"/>
      <c r="F23" s="56"/>
      <c r="G23" s="56"/>
      <c r="H23" s="56"/>
      <c r="I23" s="56"/>
      <c r="J23" s="56"/>
      <c r="K23" s="56"/>
      <c r="L23" s="56"/>
      <c r="M23" s="56"/>
      <c r="N23" s="56"/>
      <c r="O23" s="68"/>
      <c r="P23" s="68"/>
    </row>
    <row r="24" spans="1:17" x14ac:dyDescent="0.3">
      <c r="A24" s="56"/>
      <c r="B24" s="56"/>
      <c r="C24" s="56"/>
      <c r="D24" s="56"/>
      <c r="E24" s="56"/>
      <c r="F24" s="56"/>
      <c r="G24" s="56"/>
      <c r="H24" s="56"/>
      <c r="I24" s="56"/>
      <c r="J24" s="56"/>
      <c r="K24" s="56"/>
      <c r="L24" s="56"/>
      <c r="M24" s="56"/>
      <c r="N24" s="56"/>
      <c r="O24" s="68"/>
      <c r="P24" s="68"/>
      <c r="Q24" s="58" t="str">
        <f>P10</f>
        <v>Provid 2 legged  8 mm bars at  300 mm c/c</v>
      </c>
    </row>
    <row r="25" spans="1:17" x14ac:dyDescent="0.3">
      <c r="A25" s="57" t="s">
        <v>147</v>
      </c>
      <c r="B25" s="56"/>
      <c r="C25" s="56"/>
      <c r="D25" s="56"/>
      <c r="E25" s="56"/>
      <c r="F25" s="56" t="s">
        <v>148</v>
      </c>
      <c r="G25" s="56">
        <f>G15-((G21*B19*B18)/1000)</f>
        <v>22.150000000000006</v>
      </c>
      <c r="H25" s="56" t="s">
        <v>3</v>
      </c>
      <c r="I25" s="56"/>
      <c r="J25" s="56"/>
      <c r="K25" s="56"/>
      <c r="L25" s="56"/>
      <c r="M25" s="56"/>
      <c r="N25" s="56"/>
      <c r="O25" s="68"/>
      <c r="P25" s="68"/>
    </row>
    <row r="26" spans="1:17" x14ac:dyDescent="0.3">
      <c r="A26" s="56" t="s">
        <v>149</v>
      </c>
      <c r="B26" s="56">
        <f>(B19/1000)*(B17/1000)*25</f>
        <v>6.1249999999999991</v>
      </c>
      <c r="C26" s="56" t="s">
        <v>150</v>
      </c>
      <c r="D26" s="56"/>
      <c r="E26" s="56"/>
      <c r="F26" s="56" t="s">
        <v>151</v>
      </c>
      <c r="G26" s="56">
        <f>ROUNDDOWN((0.87*B6*2*3.14*((B9/2)^2)*B18)/(G25*1000),-2)</f>
        <v>1200</v>
      </c>
      <c r="H26" s="56" t="s">
        <v>8</v>
      </c>
      <c r="I26" s="56"/>
      <c r="J26" s="56"/>
      <c r="K26" s="56"/>
      <c r="L26" s="56"/>
      <c r="M26" s="56"/>
      <c r="N26" s="56"/>
      <c r="O26" s="68"/>
      <c r="P26" s="68"/>
    </row>
    <row r="27" spans="1:17" x14ac:dyDescent="0.3">
      <c r="A27" s="56" t="s">
        <v>152</v>
      </c>
      <c r="B27" s="56">
        <f>ROUND(1.5*(B26+B11+B12),0)</f>
        <v>62</v>
      </c>
      <c r="C27" s="56" t="s">
        <v>150</v>
      </c>
      <c r="D27" s="56"/>
      <c r="E27" s="56"/>
      <c r="F27" s="56"/>
      <c r="G27" s="56"/>
      <c r="H27" s="56"/>
      <c r="I27" s="56"/>
      <c r="J27" s="56"/>
      <c r="K27" s="56"/>
      <c r="L27" s="56"/>
      <c r="M27" s="56"/>
      <c r="N27" s="56"/>
      <c r="O27" s="68"/>
      <c r="P27" s="68"/>
    </row>
    <row r="28" spans="1:17" x14ac:dyDescent="0.3">
      <c r="A28" s="56" t="s">
        <v>153</v>
      </c>
      <c r="B28" s="56">
        <f>ROUNDUP((B27*B22^2)/8,0)</f>
        <v>380</v>
      </c>
      <c r="C28" s="56" t="s">
        <v>154</v>
      </c>
      <c r="D28" s="56"/>
      <c r="E28" s="56"/>
      <c r="F28" s="56" t="s">
        <v>155</v>
      </c>
      <c r="G28" s="56">
        <f>0.75*B18</f>
        <v>487.125</v>
      </c>
      <c r="H28" s="56" t="s">
        <v>8</v>
      </c>
      <c r="I28" s="56"/>
      <c r="J28" s="56"/>
      <c r="K28" s="56"/>
      <c r="L28" s="56"/>
      <c r="M28" s="56"/>
      <c r="N28" s="56"/>
      <c r="O28" s="68"/>
      <c r="P28" s="71" t="str">
        <f>CONCATENATE("B = ",P5," mm")</f>
        <v>B = 350 mm</v>
      </c>
    </row>
    <row r="29" spans="1:17" x14ac:dyDescent="0.3">
      <c r="A29" s="56" t="s">
        <v>156</v>
      </c>
      <c r="B29" s="56">
        <f>(B27*B22)/2</f>
        <v>217</v>
      </c>
      <c r="C29" s="56" t="s">
        <v>3</v>
      </c>
      <c r="D29" s="56"/>
      <c r="E29" s="56"/>
      <c r="F29" s="56" t="s">
        <v>157</v>
      </c>
      <c r="G29" s="56">
        <f>MIN(G28,G26,300)</f>
        <v>300</v>
      </c>
      <c r="H29" s="56" t="s">
        <v>8</v>
      </c>
      <c r="I29" s="56"/>
      <c r="J29" s="56"/>
      <c r="K29" s="56"/>
      <c r="L29" s="56"/>
      <c r="M29" s="56"/>
      <c r="N29" s="56"/>
      <c r="O29" s="68"/>
      <c r="P29" s="68"/>
    </row>
    <row r="30" spans="1:17" x14ac:dyDescent="0.3">
      <c r="A30" s="56"/>
      <c r="B30" s="56"/>
      <c r="C30" s="56"/>
      <c r="D30" s="56"/>
      <c r="E30" s="56"/>
      <c r="F30" s="56"/>
      <c r="G30" s="56"/>
      <c r="H30" s="56"/>
      <c r="I30" s="56"/>
      <c r="J30" s="56"/>
      <c r="K30" s="56"/>
      <c r="L30" s="56"/>
      <c r="M30" s="56"/>
      <c r="N30" s="56"/>
      <c r="O30" s="68"/>
      <c r="P30" s="68"/>
    </row>
    <row r="31" spans="1:17" x14ac:dyDescent="0.3">
      <c r="A31" s="56" t="s">
        <v>158</v>
      </c>
      <c r="B31" s="56">
        <f>SQRT((B28*10^6)/(B19*0.1338*B5))</f>
        <v>520.07872945512838</v>
      </c>
      <c r="C31" s="56" t="s">
        <v>8</v>
      </c>
      <c r="D31" s="56"/>
      <c r="E31" s="56"/>
      <c r="F31" s="56"/>
      <c r="G31" s="56"/>
      <c r="H31" s="56"/>
      <c r="I31" s="56"/>
      <c r="J31" s="56"/>
      <c r="K31" s="56"/>
      <c r="L31" s="56"/>
      <c r="M31" s="56"/>
      <c r="N31" s="56"/>
    </row>
    <row r="32" spans="1:17" x14ac:dyDescent="0.3">
      <c r="A32" s="62" t="str">
        <f>IF(B31&gt;B18,"CHANGE d or L/D","Okay")</f>
        <v>Okay</v>
      </c>
      <c r="B32" s="56"/>
      <c r="C32" s="56"/>
      <c r="D32" s="56"/>
      <c r="E32" s="56"/>
      <c r="F32" s="56"/>
      <c r="G32" s="56"/>
      <c r="H32" s="56"/>
      <c r="I32" s="56"/>
      <c r="J32" s="56"/>
      <c r="K32" s="56"/>
      <c r="L32" s="56"/>
      <c r="M32" s="56"/>
      <c r="N32" s="56"/>
    </row>
  </sheetData>
  <mergeCells count="1">
    <mergeCell ref="O3:P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EE7DC-F8DC-46EA-891D-24C63B7BD9F3}">
  <dimension ref="A2:M39"/>
  <sheetViews>
    <sheetView workbookViewId="0">
      <selection activeCell="B18" sqref="B18"/>
    </sheetView>
  </sheetViews>
  <sheetFormatPr defaultColWidth="9.08984375" defaultRowHeight="14" x14ac:dyDescent="0.3"/>
  <cols>
    <col min="1" max="1" width="40.08984375" style="54" bestFit="1" customWidth="1"/>
    <col min="2" max="2" width="29.90625" style="54" customWidth="1"/>
    <col min="3" max="3" width="9.08984375" style="54"/>
    <col min="4" max="4" width="25.54296875" style="54" bestFit="1" customWidth="1"/>
    <col min="5" max="5" width="34.90625" style="54" bestFit="1" customWidth="1"/>
    <col min="6" max="6" width="10.36328125" style="54" bestFit="1" customWidth="1"/>
    <col min="7" max="7" width="30.453125" style="54" bestFit="1" customWidth="1"/>
    <col min="8" max="8" width="30" style="54" bestFit="1" customWidth="1"/>
    <col min="9" max="9" width="10.36328125" style="54" bestFit="1" customWidth="1"/>
    <col min="10" max="10" width="28.453125" style="54" bestFit="1" customWidth="1"/>
    <col min="11" max="12" width="9.08984375" style="54"/>
    <col min="13" max="13" width="23.08984375" style="54" bestFit="1" customWidth="1"/>
    <col min="14" max="16384" width="9.08984375" style="54"/>
  </cols>
  <sheetData>
    <row r="2" spans="1:13" x14ac:dyDescent="0.3">
      <c r="A2" s="193" t="s">
        <v>159</v>
      </c>
      <c r="B2" s="193"/>
      <c r="C2" s="193"/>
      <c r="D2" s="193"/>
      <c r="E2" s="193"/>
      <c r="F2" s="193"/>
      <c r="G2" s="193"/>
      <c r="H2" s="193"/>
      <c r="I2" s="193"/>
      <c r="J2" s="193"/>
      <c r="K2" s="193"/>
    </row>
    <row r="4" spans="1:13" x14ac:dyDescent="0.3">
      <c r="A4" s="72" t="s">
        <v>160</v>
      </c>
      <c r="B4" s="73"/>
      <c r="C4" s="73"/>
      <c r="G4" s="72" t="s">
        <v>161</v>
      </c>
      <c r="H4" s="73"/>
      <c r="I4" s="73"/>
      <c r="J4" s="194" t="s">
        <v>162</v>
      </c>
      <c r="K4" s="195"/>
    </row>
    <row r="5" spans="1:13" x14ac:dyDescent="0.3">
      <c r="A5" s="73" t="s">
        <v>163</v>
      </c>
      <c r="B5" s="73">
        <v>4.8</v>
      </c>
      <c r="C5" s="73" t="s">
        <v>9</v>
      </c>
      <c r="G5" s="73" t="s">
        <v>164</v>
      </c>
      <c r="H5" s="74">
        <f>B35*1000/(B25*1000*B17)</f>
        <v>0.85154665314401634</v>
      </c>
      <c r="I5" s="73" t="s">
        <v>165</v>
      </c>
      <c r="J5" s="196" t="str">
        <f>IF(B17&gt;750, "Its Not Okay provide Side reinforcement on both sides The total area of such reinforcement shall be not less than 0.1 percent of the web area and shall be spacing not exceeding 300 mm", " No need of Side Reinforcement ")</f>
        <v xml:space="preserve"> No need of Side Reinforcement </v>
      </c>
      <c r="K5" s="197"/>
    </row>
    <row r="6" spans="1:13" x14ac:dyDescent="0.3">
      <c r="A6" s="73" t="s">
        <v>166</v>
      </c>
      <c r="B6" s="73">
        <v>200</v>
      </c>
      <c r="C6" s="73" t="s">
        <v>8</v>
      </c>
      <c r="D6" s="198" t="s">
        <v>167</v>
      </c>
      <c r="E6" s="199"/>
      <c r="F6" s="200"/>
      <c r="G6" s="73" t="s">
        <v>168</v>
      </c>
      <c r="H6" s="74">
        <f>100*E30/(B25*1000*B17)</f>
        <v>1.4330628803245438</v>
      </c>
      <c r="I6" s="73" t="s">
        <v>169</v>
      </c>
    </row>
    <row r="7" spans="1:13" x14ac:dyDescent="0.3">
      <c r="A7" s="73" t="s">
        <v>170</v>
      </c>
      <c r="B7" s="73">
        <v>13</v>
      </c>
      <c r="C7" s="73" t="s">
        <v>150</v>
      </c>
      <c r="D7" s="73" t="s">
        <v>171</v>
      </c>
      <c r="E7" s="74">
        <f>B34*10^6/(B25*1000*B17^2)</f>
        <v>3.6704597118276565</v>
      </c>
      <c r="F7" s="73" t="s">
        <v>35</v>
      </c>
      <c r="G7" s="73" t="s">
        <v>172</v>
      </c>
      <c r="H7" s="73">
        <v>0.72</v>
      </c>
      <c r="I7" s="73"/>
    </row>
    <row r="8" spans="1:13" x14ac:dyDescent="0.3">
      <c r="A8" s="73" t="s">
        <v>173</v>
      </c>
      <c r="B8" s="73">
        <v>25</v>
      </c>
      <c r="C8" s="73" t="s">
        <v>15</v>
      </c>
      <c r="D8" s="73" t="s">
        <v>174</v>
      </c>
      <c r="E8" s="74">
        <f>(B8/(2*B9))*(B25*1000*B17)*(1-SQRT(1-((4.598*E7)/B8)))</f>
        <v>851.31501010494424</v>
      </c>
      <c r="F8" s="73" t="s">
        <v>54</v>
      </c>
      <c r="G8" s="73" t="s">
        <v>175</v>
      </c>
      <c r="H8" s="75" t="str">
        <f>IF(H7&gt;H5,"SAFE ","GO FOR SHEAR REINFORCEMENT")</f>
        <v>GO FOR SHEAR REINFORCEMENT</v>
      </c>
      <c r="I8" s="73"/>
    </row>
    <row r="9" spans="1:13" x14ac:dyDescent="0.3">
      <c r="A9" s="73" t="s">
        <v>176</v>
      </c>
      <c r="B9" s="73">
        <v>415</v>
      </c>
      <c r="C9" s="73" t="s">
        <v>15</v>
      </c>
      <c r="K9" s="54">
        <f>(B25*1000)</f>
        <v>226.66666666666666</v>
      </c>
      <c r="L9" s="54" t="s">
        <v>8</v>
      </c>
      <c r="M9" s="76" t="str">
        <f>CONCATENATE("provide ",E32," - ",E31,"mm dia bar")</f>
        <v>provide 1 - 12mm dia bar</v>
      </c>
    </row>
    <row r="10" spans="1:13" x14ac:dyDescent="0.3">
      <c r="A10" s="73" t="s">
        <v>177</v>
      </c>
      <c r="B10" s="73">
        <v>20</v>
      </c>
      <c r="C10" s="73" t="s">
        <v>8</v>
      </c>
      <c r="G10" s="72" t="s">
        <v>178</v>
      </c>
      <c r="H10" s="73"/>
      <c r="I10" s="73"/>
    </row>
    <row r="11" spans="1:13" x14ac:dyDescent="0.3">
      <c r="A11" s="73" t="s">
        <v>179</v>
      </c>
      <c r="B11" s="73">
        <v>25</v>
      </c>
      <c r="C11" s="73" t="s">
        <v>8</v>
      </c>
      <c r="D11" s="73" t="s">
        <v>180</v>
      </c>
      <c r="E11" s="73">
        <f>3.14*0.25*B10^2</f>
        <v>314</v>
      </c>
      <c r="F11" s="73" t="s">
        <v>54</v>
      </c>
      <c r="G11" s="73" t="s">
        <v>109</v>
      </c>
      <c r="H11" s="73">
        <v>250</v>
      </c>
      <c r="I11" s="73" t="s">
        <v>165</v>
      </c>
    </row>
    <row r="12" spans="1:13" x14ac:dyDescent="0.3">
      <c r="A12" s="73" t="s">
        <v>181</v>
      </c>
      <c r="B12" s="73">
        <v>8</v>
      </c>
      <c r="C12" s="73" t="s">
        <v>8</v>
      </c>
      <c r="D12" s="73"/>
      <c r="E12" s="77"/>
      <c r="F12" s="73"/>
      <c r="G12" s="73" t="s">
        <v>182</v>
      </c>
      <c r="H12" s="73">
        <f>3.14*B12^2</f>
        <v>200.96</v>
      </c>
      <c r="I12" s="73" t="s">
        <v>183</v>
      </c>
    </row>
    <row r="13" spans="1:13" x14ac:dyDescent="0.3">
      <c r="A13" s="73" t="s">
        <v>184</v>
      </c>
      <c r="B13" s="73">
        <v>25</v>
      </c>
      <c r="C13" s="73" t="s">
        <v>185</v>
      </c>
      <c r="D13" s="73"/>
      <c r="E13" s="78"/>
      <c r="F13" s="73"/>
      <c r="G13" s="73" t="s">
        <v>186</v>
      </c>
      <c r="H13" s="73">
        <f>0.87*H12*2*H11/(0.4*B25*1000)</f>
        <v>964.16470588235291</v>
      </c>
      <c r="I13" s="73" t="s">
        <v>8</v>
      </c>
    </row>
    <row r="14" spans="1:13" x14ac:dyDescent="0.3">
      <c r="G14" s="73" t="s">
        <v>187</v>
      </c>
      <c r="H14" s="73">
        <f>0.75*B17</f>
        <v>217.5</v>
      </c>
      <c r="I14" s="73" t="s">
        <v>8</v>
      </c>
    </row>
    <row r="15" spans="1:13" x14ac:dyDescent="0.3">
      <c r="A15" s="72" t="s">
        <v>188</v>
      </c>
      <c r="B15" s="73"/>
      <c r="C15" s="73"/>
      <c r="D15" s="73"/>
      <c r="E15" s="73"/>
      <c r="F15" s="73"/>
      <c r="G15" s="73"/>
      <c r="H15" s="75" t="str">
        <f>IF(H7&lt;H5,"go for Shear Reinforcement","Safe &amp; ignore Shear REinforcement")</f>
        <v>go for Shear Reinforcement</v>
      </c>
      <c r="I15" s="73"/>
    </row>
    <row r="16" spans="1:13" x14ac:dyDescent="0.3">
      <c r="A16" s="73" t="s">
        <v>189</v>
      </c>
      <c r="B16" s="73">
        <v>17</v>
      </c>
      <c r="C16" s="73"/>
      <c r="G16" s="73" t="s">
        <v>190</v>
      </c>
      <c r="H16" s="79">
        <f>MIN(H14,H13)</f>
        <v>217.5</v>
      </c>
      <c r="I16" s="73" t="s">
        <v>8</v>
      </c>
    </row>
    <row r="17" spans="1:13" x14ac:dyDescent="0.3">
      <c r="A17" s="73" t="s">
        <v>191</v>
      </c>
      <c r="B17" s="73">
        <f>ROUNDUP(B5*1000/B16,-1)</f>
        <v>290</v>
      </c>
      <c r="C17" s="73" t="s">
        <v>8</v>
      </c>
      <c r="D17" s="73" t="s">
        <v>192</v>
      </c>
      <c r="E17" s="73"/>
      <c r="F17" s="73"/>
      <c r="J17" s="80"/>
      <c r="L17" s="54">
        <f>B20</f>
        <v>340</v>
      </c>
      <c r="M17" s="54" t="s">
        <v>8</v>
      </c>
    </row>
    <row r="18" spans="1:13" x14ac:dyDescent="0.3">
      <c r="A18" s="73" t="s">
        <v>193</v>
      </c>
      <c r="B18" s="73">
        <f>B11+B12+(B10/2)</f>
        <v>43</v>
      </c>
      <c r="C18" s="73" t="s">
        <v>8</v>
      </c>
      <c r="D18" s="73" t="s">
        <v>194</v>
      </c>
      <c r="E18" s="73">
        <v>250</v>
      </c>
      <c r="F18" s="73" t="s">
        <v>165</v>
      </c>
      <c r="G18" s="81" t="s">
        <v>119</v>
      </c>
      <c r="H18" s="73"/>
      <c r="I18" s="73"/>
    </row>
    <row r="19" spans="1:13" x14ac:dyDescent="0.3">
      <c r="A19" s="73" t="s">
        <v>195</v>
      </c>
      <c r="B19" s="73">
        <f>ROUNDUP(B18,-1)</f>
        <v>50</v>
      </c>
      <c r="C19" s="73" t="s">
        <v>8</v>
      </c>
      <c r="D19" s="73" t="s">
        <v>114</v>
      </c>
      <c r="E19" s="74">
        <f>0.87*E18*E30/(0.36*B8*B25*1000)</f>
        <v>100.43382352941177</v>
      </c>
      <c r="F19" s="73" t="s">
        <v>8</v>
      </c>
      <c r="G19" s="82" t="s">
        <v>148</v>
      </c>
      <c r="H19" s="73">
        <f>(B35*1000-H7*B17*1000*B25)/1000</f>
        <v>8.6470000000000073</v>
      </c>
      <c r="I19" s="73" t="s">
        <v>3</v>
      </c>
    </row>
    <row r="20" spans="1:13" x14ac:dyDescent="0.3">
      <c r="A20" s="73" t="s">
        <v>196</v>
      </c>
      <c r="B20" s="73">
        <f>B17+B19</f>
        <v>340</v>
      </c>
      <c r="C20" s="73" t="s">
        <v>8</v>
      </c>
      <c r="D20" s="73" t="s">
        <v>197</v>
      </c>
      <c r="E20" s="73">
        <f>0.48*B17</f>
        <v>139.19999999999999</v>
      </c>
      <c r="F20" s="73" t="s">
        <v>8</v>
      </c>
      <c r="G20" s="82" t="s">
        <v>186</v>
      </c>
      <c r="H20" s="73">
        <f>(0.87*H11*2*H12*B17)/(H19*1000)</f>
        <v>2931.7802706140833</v>
      </c>
      <c r="I20" s="73" t="s">
        <v>8</v>
      </c>
    </row>
    <row r="21" spans="1:13" x14ac:dyDescent="0.3">
      <c r="A21" s="73" t="s">
        <v>198</v>
      </c>
      <c r="B21" s="79">
        <f>MIN(B5+B17/1000,B5+B6/1000)</f>
        <v>5</v>
      </c>
      <c r="C21" s="73" t="s">
        <v>199</v>
      </c>
      <c r="D21" s="83"/>
      <c r="E21" s="84" t="str">
        <f>IF(E20&gt;E19,"OK &amp; The Section is Under Reinforced","not ok &amp; the Section is Over reinforced" )</f>
        <v>OK &amp; The Section is Under Reinforced</v>
      </c>
      <c r="F21" s="83"/>
      <c r="G21" s="82" t="s">
        <v>187</v>
      </c>
      <c r="H21" s="73">
        <f>H14</f>
        <v>217.5</v>
      </c>
      <c r="I21" s="73"/>
    </row>
    <row r="22" spans="1:13" x14ac:dyDescent="0.3">
      <c r="D22" s="73" t="s">
        <v>200</v>
      </c>
      <c r="E22" s="73">
        <f>200*1000</f>
        <v>200000</v>
      </c>
      <c r="F22" s="73" t="s">
        <v>165</v>
      </c>
      <c r="G22" s="82"/>
      <c r="H22" s="73"/>
      <c r="I22" s="73"/>
    </row>
    <row r="23" spans="1:13" x14ac:dyDescent="0.3">
      <c r="A23" s="72" t="s">
        <v>201</v>
      </c>
      <c r="B23" s="73"/>
      <c r="C23" s="85"/>
      <c r="D23" s="73" t="s">
        <v>202</v>
      </c>
      <c r="E23" s="74">
        <f>E8</f>
        <v>851.31501010494424</v>
      </c>
      <c r="F23" s="73" t="s">
        <v>203</v>
      </c>
      <c r="G23" s="86" t="s">
        <v>204</v>
      </c>
      <c r="H23" s="87">
        <f>MIN(H21,H20)</f>
        <v>217.5</v>
      </c>
      <c r="I23" s="87" t="s">
        <v>8</v>
      </c>
    </row>
    <row r="24" spans="1:13" x14ac:dyDescent="0.3">
      <c r="A24" s="73"/>
      <c r="B24" s="73"/>
      <c r="C24" s="85"/>
      <c r="D24" s="73" t="s">
        <v>205</v>
      </c>
      <c r="E24" s="73">
        <f>0.0035*((E20-B19)/E20)*E22</f>
        <v>448.56321839080459</v>
      </c>
      <c r="F24" s="73" t="s">
        <v>165</v>
      </c>
    </row>
    <row r="25" spans="1:13" x14ac:dyDescent="0.3">
      <c r="A25" s="73" t="s">
        <v>206</v>
      </c>
      <c r="B25" s="88">
        <f>(B20/1.5)/1000</f>
        <v>0.22666666666666666</v>
      </c>
      <c r="C25" s="85" t="s">
        <v>9</v>
      </c>
      <c r="D25" s="73" t="s">
        <v>207</v>
      </c>
      <c r="E25" s="73">
        <f>(B34-B38)*10^6/(E24*(B17-B19))</f>
        <v>39.037139654067921</v>
      </c>
      <c r="F25" s="73" t="s">
        <v>183</v>
      </c>
      <c r="G25" s="81" t="s">
        <v>208</v>
      </c>
      <c r="H25" s="73"/>
      <c r="I25" s="73"/>
    </row>
    <row r="26" spans="1:13" x14ac:dyDescent="0.3">
      <c r="A26" s="73" t="s">
        <v>209</v>
      </c>
      <c r="B26" s="88">
        <f>B13*B20/1000*B25</f>
        <v>1.9266666666666665</v>
      </c>
      <c r="C26" s="85" t="s">
        <v>150</v>
      </c>
      <c r="D26" s="73" t="s">
        <v>210</v>
      </c>
      <c r="E26" s="73">
        <f>E25*E24/(0.87*E18)</f>
        <v>80.508620689655203</v>
      </c>
      <c r="F26" s="73" t="s">
        <v>183</v>
      </c>
      <c r="G26" s="82" t="s">
        <v>211</v>
      </c>
      <c r="H26" s="73">
        <f>0.85*B25*1000*B17/B9</f>
        <v>134.63453815261042</v>
      </c>
      <c r="I26" s="73" t="s">
        <v>54</v>
      </c>
    </row>
    <row r="27" spans="1:13" x14ac:dyDescent="0.3">
      <c r="A27" s="73" t="s">
        <v>212</v>
      </c>
      <c r="B27" s="73">
        <f>B7</f>
        <v>13</v>
      </c>
      <c r="C27" s="85" t="s">
        <v>150</v>
      </c>
      <c r="D27" s="73" t="s">
        <v>213</v>
      </c>
      <c r="E27" s="74">
        <f>E26+E23</f>
        <v>931.82363079459947</v>
      </c>
      <c r="F27" s="73" t="s">
        <v>183</v>
      </c>
      <c r="G27" s="82" t="s">
        <v>175</v>
      </c>
      <c r="H27" s="75" t="str">
        <f>IF(E30&gt;H26,"SAFE","UNSAFE")</f>
        <v>SAFE</v>
      </c>
      <c r="I27" s="73"/>
    </row>
    <row r="28" spans="1:13" x14ac:dyDescent="0.3">
      <c r="A28" s="73" t="s">
        <v>214</v>
      </c>
      <c r="B28" s="88">
        <f>B26+B27</f>
        <v>14.926666666666666</v>
      </c>
      <c r="C28" s="85" t="s">
        <v>150</v>
      </c>
      <c r="D28" s="73" t="s">
        <v>215</v>
      </c>
      <c r="E28" s="73">
        <f>E27/(3.14*0.25*B10*B10)</f>
        <v>2.9675911808745208</v>
      </c>
      <c r="F28" s="73"/>
      <c r="M28" s="76" t="str">
        <f>CONCATENATE("provide ",E29," - ",B10,"mm dia bar")</f>
        <v>provide 3 - 20mm dia bar</v>
      </c>
    </row>
    <row r="29" spans="1:13" x14ac:dyDescent="0.3">
      <c r="A29" s="73" t="s">
        <v>216</v>
      </c>
      <c r="B29" s="73">
        <v>1.5</v>
      </c>
      <c r="C29" s="85"/>
      <c r="D29" s="73" t="s">
        <v>217</v>
      </c>
      <c r="E29" s="73">
        <f>ROUNDUP(E28, -0.5)</f>
        <v>3</v>
      </c>
      <c r="F29" s="73"/>
    </row>
    <row r="30" spans="1:13" x14ac:dyDescent="0.3">
      <c r="A30" s="73" t="s">
        <v>218</v>
      </c>
      <c r="B30" s="73">
        <f>B29*B28</f>
        <v>22.39</v>
      </c>
      <c r="C30" s="85" t="s">
        <v>150</v>
      </c>
      <c r="D30" s="73" t="s">
        <v>219</v>
      </c>
      <c r="E30" s="89">
        <f>E29*3.14*0.25*B10*B10</f>
        <v>942</v>
      </c>
      <c r="F30" s="73" t="s">
        <v>183</v>
      </c>
      <c r="G30" s="81" t="s">
        <v>220</v>
      </c>
      <c r="H30" s="73"/>
      <c r="I30" s="73"/>
    </row>
    <row r="31" spans="1:13" x14ac:dyDescent="0.3">
      <c r="D31" s="73" t="s">
        <v>221</v>
      </c>
      <c r="E31" s="73">
        <f>12</f>
        <v>12</v>
      </c>
      <c r="F31" s="73" t="s">
        <v>8</v>
      </c>
      <c r="G31" s="82" t="s">
        <v>222</v>
      </c>
      <c r="H31" s="73">
        <f>(B25*1000*B17^3) /12</f>
        <v>460681111.1111111</v>
      </c>
      <c r="I31" s="73"/>
    </row>
    <row r="32" spans="1:13" x14ac:dyDescent="0.3">
      <c r="D32" s="73" t="s">
        <v>223</v>
      </c>
      <c r="E32" s="73">
        <f>ROUNDUP(E25/(3.14*0.25*E31*E31),0.5)</f>
        <v>1</v>
      </c>
      <c r="F32" s="73"/>
      <c r="G32" s="82" t="s">
        <v>224</v>
      </c>
      <c r="H32" s="73">
        <f>5000*SQRT(B8)</f>
        <v>25000</v>
      </c>
      <c r="I32" s="73"/>
    </row>
    <row r="33" spans="1:9" x14ac:dyDescent="0.3">
      <c r="A33" s="72" t="s">
        <v>225</v>
      </c>
      <c r="B33" s="73"/>
      <c r="C33" s="85"/>
      <c r="D33" s="73" t="s">
        <v>226</v>
      </c>
      <c r="E33" s="73">
        <f>E32*3.14*0.25*E31^2</f>
        <v>113.04</v>
      </c>
      <c r="F33" s="73" t="s">
        <v>183</v>
      </c>
      <c r="G33" s="82" t="s">
        <v>227</v>
      </c>
      <c r="H33" s="73">
        <f>(5*B30*(B21*1000) ^4) /(384*H32*H31)</f>
        <v>15.820947033739898</v>
      </c>
      <c r="I33" s="73" t="s">
        <v>8</v>
      </c>
    </row>
    <row r="34" spans="1:9" x14ac:dyDescent="0.3">
      <c r="A34" s="73" t="s">
        <v>39</v>
      </c>
      <c r="B34" s="73">
        <f>0.125*B30*B21^2</f>
        <v>69.96875</v>
      </c>
      <c r="C34" s="73" t="s">
        <v>228</v>
      </c>
      <c r="G34" s="73" t="s">
        <v>229</v>
      </c>
      <c r="H34" s="90" t="str">
        <f>IF(B21*1000/240&gt;H33, "SAFE FOR DEFLECTION ", " NOT OKAY ")</f>
        <v xml:space="preserve">SAFE FOR DEFLECTION </v>
      </c>
      <c r="I34" s="73"/>
    </row>
    <row r="35" spans="1:9" x14ac:dyDescent="0.3">
      <c r="A35" s="73" t="s">
        <v>230</v>
      </c>
      <c r="B35" s="73">
        <f>0.5*B30*B21</f>
        <v>55.975000000000001</v>
      </c>
      <c r="C35" s="73" t="s">
        <v>3</v>
      </c>
      <c r="H35" s="91"/>
    </row>
    <row r="36" spans="1:9" x14ac:dyDescent="0.3">
      <c r="A36" s="73"/>
      <c r="B36" s="73"/>
      <c r="C36" s="73"/>
      <c r="H36" s="91"/>
    </row>
    <row r="37" spans="1:9" x14ac:dyDescent="0.3">
      <c r="A37" s="72" t="s">
        <v>231</v>
      </c>
      <c r="B37" s="73"/>
      <c r="C37" s="73"/>
      <c r="H37" s="91"/>
    </row>
    <row r="38" spans="1:9" x14ac:dyDescent="0.3">
      <c r="A38" s="73" t="s">
        <v>232</v>
      </c>
      <c r="B38" s="73">
        <f>(0.138*B8*B25*1000*B17^2)/10^6</f>
        <v>65.766199999999998</v>
      </c>
      <c r="C38" s="73" t="s">
        <v>228</v>
      </c>
    </row>
    <row r="39" spans="1:9" x14ac:dyDescent="0.3">
      <c r="A39" s="73" t="s">
        <v>175</v>
      </c>
      <c r="B39" s="196" t="str">
        <f>IF(B38&gt;B34,"THE SECTION IS SINGLY REINFORCED SECTION","THE SECTION IS DOUBLEY REINFORCED SECTION")</f>
        <v>THE SECTION IS DOUBLEY REINFORCED SECTION</v>
      </c>
      <c r="C39" s="197"/>
      <c r="D39" s="197"/>
    </row>
  </sheetData>
  <mergeCells count="5">
    <mergeCell ref="A2:K2"/>
    <mergeCell ref="J4:K4"/>
    <mergeCell ref="J5:K5"/>
    <mergeCell ref="D6:F6"/>
    <mergeCell ref="B39:D3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0DE0E-A830-46CD-8C96-91864072DF16}">
  <dimension ref="A1:R50"/>
  <sheetViews>
    <sheetView topLeftCell="A13" workbookViewId="0">
      <selection activeCell="B3" sqref="B3"/>
    </sheetView>
  </sheetViews>
  <sheetFormatPr defaultColWidth="9.08984375" defaultRowHeight="14" x14ac:dyDescent="0.35"/>
  <cols>
    <col min="1" max="1" width="31" style="92" bestFit="1" customWidth="1"/>
    <col min="2" max="2" width="8" style="92" bestFit="1" customWidth="1"/>
    <col min="3" max="3" width="15.453125" style="92" customWidth="1"/>
    <col min="4" max="4" width="23.6328125" style="92" bestFit="1" customWidth="1"/>
    <col min="5" max="5" width="13.6328125" style="92" bestFit="1" customWidth="1"/>
    <col min="6" max="6" width="9.08984375" style="92"/>
    <col min="7" max="7" width="23.6328125" style="92" bestFit="1" customWidth="1"/>
    <col min="8" max="8" width="19" style="92" bestFit="1" customWidth="1"/>
    <col min="9" max="9" width="12" style="92" bestFit="1" customWidth="1"/>
    <col min="10" max="10" width="9.08984375" style="92"/>
    <col min="11" max="11" width="21" style="92" bestFit="1" customWidth="1"/>
    <col min="12" max="16384" width="9.08984375" style="92"/>
  </cols>
  <sheetData>
    <row r="1" spans="1:16" x14ac:dyDescent="0.35">
      <c r="A1" s="202" t="s">
        <v>233</v>
      </c>
      <c r="B1" s="202"/>
      <c r="C1" s="202"/>
      <c r="D1" s="202"/>
      <c r="E1" s="202"/>
      <c r="F1" s="202"/>
      <c r="G1" s="202"/>
      <c r="H1" s="202"/>
      <c r="I1" s="202"/>
      <c r="J1" s="202"/>
      <c r="K1" s="202"/>
      <c r="L1" s="202"/>
      <c r="M1" s="202"/>
      <c r="N1" s="202"/>
      <c r="O1" s="202"/>
      <c r="P1" s="202"/>
    </row>
    <row r="2" spans="1:16" x14ac:dyDescent="0.35">
      <c r="A2" s="93" t="s">
        <v>160</v>
      </c>
      <c r="B2" s="94"/>
      <c r="C2" s="95"/>
      <c r="D2" s="94"/>
      <c r="E2" s="94"/>
      <c r="F2" s="94"/>
      <c r="G2" s="94"/>
      <c r="H2" s="94"/>
      <c r="I2" s="94"/>
      <c r="J2" s="94"/>
      <c r="K2" s="94"/>
      <c r="L2" s="94"/>
      <c r="M2" s="94"/>
    </row>
    <row r="3" spans="1:16" x14ac:dyDescent="0.35">
      <c r="A3" s="94" t="s">
        <v>234</v>
      </c>
      <c r="B3" s="94">
        <v>3.5</v>
      </c>
      <c r="C3" s="95"/>
      <c r="D3" s="94"/>
      <c r="E3" s="94"/>
      <c r="F3" s="94"/>
      <c r="G3" s="94"/>
      <c r="H3" s="94"/>
      <c r="I3" s="94"/>
      <c r="J3" s="94"/>
      <c r="K3" s="94"/>
      <c r="L3" s="94"/>
      <c r="M3" s="94"/>
    </row>
    <row r="4" spans="1:16" x14ac:dyDescent="0.35">
      <c r="A4" s="94" t="s">
        <v>235</v>
      </c>
      <c r="B4" s="94">
        <v>20</v>
      </c>
      <c r="C4" s="95"/>
      <c r="D4" s="203" t="s">
        <v>236</v>
      </c>
      <c r="E4" s="203"/>
      <c r="F4" s="203"/>
      <c r="G4" s="94"/>
      <c r="H4" s="94"/>
      <c r="I4" s="94"/>
      <c r="J4" s="94"/>
      <c r="K4" s="94"/>
      <c r="L4" s="94"/>
      <c r="M4" s="94"/>
    </row>
    <row r="5" spans="1:16" x14ac:dyDescent="0.35">
      <c r="A5" s="94" t="s">
        <v>237</v>
      </c>
      <c r="B5" s="94">
        <v>415</v>
      </c>
      <c r="C5" s="95"/>
      <c r="D5" s="94">
        <f>B3</f>
        <v>3.5</v>
      </c>
      <c r="E5" s="94" t="s">
        <v>238</v>
      </c>
      <c r="F5" s="94">
        <v>8</v>
      </c>
      <c r="G5" s="94"/>
      <c r="H5" s="93" t="s">
        <v>239</v>
      </c>
      <c r="I5" s="94"/>
      <c r="J5" s="94"/>
      <c r="K5" s="94"/>
      <c r="L5" s="94"/>
      <c r="M5" s="94"/>
    </row>
    <row r="6" spans="1:16" x14ac:dyDescent="0.35">
      <c r="A6" s="94" t="s">
        <v>240</v>
      </c>
      <c r="B6" s="94">
        <v>15</v>
      </c>
      <c r="C6" s="95"/>
      <c r="D6" s="204" t="s">
        <v>241</v>
      </c>
      <c r="E6" s="204"/>
      <c r="F6" s="204"/>
      <c r="G6" s="94"/>
      <c r="H6" s="94" t="s">
        <v>164</v>
      </c>
      <c r="I6" s="94">
        <f>E15*1000/(B17*1000)</f>
        <v>0.15903125000000001</v>
      </c>
      <c r="J6" s="94" t="s">
        <v>165</v>
      </c>
      <c r="K6" s="94"/>
      <c r="L6" s="94"/>
      <c r="M6" s="94"/>
    </row>
    <row r="7" spans="1:16" x14ac:dyDescent="0.35">
      <c r="A7" s="94" t="s">
        <v>242</v>
      </c>
      <c r="B7" s="94">
        <v>10</v>
      </c>
      <c r="C7" s="95"/>
      <c r="D7" s="94">
        <f>B23</f>
        <v>3.6349999999999998</v>
      </c>
      <c r="E7" s="94" t="s">
        <v>238</v>
      </c>
      <c r="F7" s="94">
        <f>MIN(F5+B17/1000,F5+B8/1000)</f>
        <v>8.1349999999999998</v>
      </c>
      <c r="G7" s="94"/>
      <c r="H7" s="94" t="s">
        <v>243</v>
      </c>
      <c r="I7" s="94">
        <f>(E23/(1000*B17))*100</f>
        <v>0.31742779446890096</v>
      </c>
      <c r="J7" s="94" t="s">
        <v>169</v>
      </c>
      <c r="K7" s="94"/>
      <c r="L7" s="94"/>
      <c r="M7" s="94"/>
    </row>
    <row r="8" spans="1:16" x14ac:dyDescent="0.35">
      <c r="A8" s="94" t="s">
        <v>244</v>
      </c>
      <c r="B8" s="94">
        <v>230</v>
      </c>
      <c r="C8" s="95"/>
      <c r="D8" s="94" t="s">
        <v>245</v>
      </c>
      <c r="E8" s="94"/>
      <c r="F8" s="94"/>
      <c r="G8" s="94"/>
      <c r="H8" s="94" t="s">
        <v>246</v>
      </c>
      <c r="I8" s="94">
        <f>0.392</f>
        <v>0.39200000000000002</v>
      </c>
      <c r="J8" s="94" t="s">
        <v>165</v>
      </c>
      <c r="K8" s="94"/>
      <c r="L8" s="94"/>
      <c r="M8" s="94"/>
    </row>
    <row r="9" spans="1:16" x14ac:dyDescent="0.35">
      <c r="A9" s="94" t="s">
        <v>247</v>
      </c>
      <c r="B9" s="94">
        <v>3</v>
      </c>
      <c r="C9" s="95"/>
      <c r="D9" s="96" t="s">
        <v>175</v>
      </c>
      <c r="E9" s="205" t="str">
        <f>IF(F7/D7&gt;=2,"IT IS ONE WAY SLAB","IT IS TWO WAY SLAB")</f>
        <v>IT IS ONE WAY SLAB</v>
      </c>
      <c r="F9" s="205"/>
      <c r="G9" s="94"/>
      <c r="H9" s="96" t="s">
        <v>175</v>
      </c>
      <c r="I9" s="97" t="str">
        <f>IF(I8&gt;I6,"OKAY","NOT OKAY")</f>
        <v>OKAY</v>
      </c>
      <c r="J9" s="94"/>
      <c r="K9" s="94"/>
      <c r="L9" s="94"/>
      <c r="M9" s="94"/>
    </row>
    <row r="10" spans="1:16" x14ac:dyDescent="0.35">
      <c r="A10" s="94" t="s">
        <v>248</v>
      </c>
      <c r="B10" s="94">
        <v>1</v>
      </c>
      <c r="C10" s="95"/>
      <c r="D10" s="94"/>
      <c r="E10" s="94"/>
      <c r="F10" s="94"/>
      <c r="G10" s="94"/>
      <c r="H10" s="94"/>
      <c r="I10" s="94"/>
      <c r="J10" s="94"/>
      <c r="K10" s="94"/>
      <c r="L10" s="94"/>
      <c r="M10" s="94"/>
    </row>
    <row r="11" spans="1:16" x14ac:dyDescent="0.35">
      <c r="A11" s="94" t="s">
        <v>249</v>
      </c>
      <c r="B11" s="94">
        <v>25</v>
      </c>
      <c r="C11" s="95"/>
      <c r="D11" s="94"/>
      <c r="E11" s="94"/>
      <c r="F11" s="94"/>
      <c r="G11" s="94"/>
      <c r="H11" s="94"/>
      <c r="I11" s="94"/>
      <c r="J11" s="94"/>
      <c r="K11" s="94"/>
      <c r="L11" s="94"/>
      <c r="M11" s="94"/>
    </row>
    <row r="12" spans="1:16" x14ac:dyDescent="0.35">
      <c r="D12" s="94"/>
      <c r="E12" s="94"/>
      <c r="F12" s="94"/>
      <c r="G12" s="94"/>
      <c r="H12" s="94"/>
      <c r="I12" s="94"/>
      <c r="J12" s="94"/>
      <c r="K12" s="94"/>
      <c r="L12" s="94"/>
      <c r="M12" s="94"/>
    </row>
    <row r="13" spans="1:16" x14ac:dyDescent="0.35">
      <c r="A13" s="93" t="s">
        <v>250</v>
      </c>
      <c r="B13" s="94"/>
      <c r="C13" s="95"/>
      <c r="D13" s="203" t="s">
        <v>251</v>
      </c>
      <c r="E13" s="203"/>
      <c r="F13" s="203"/>
      <c r="G13" s="203"/>
      <c r="H13" s="203" t="s">
        <v>220</v>
      </c>
      <c r="I13" s="203"/>
      <c r="J13" s="203"/>
      <c r="K13" s="94"/>
      <c r="L13" s="94"/>
      <c r="M13" s="94"/>
    </row>
    <row r="14" spans="1:16" x14ac:dyDescent="0.35">
      <c r="A14" s="94" t="s">
        <v>252</v>
      </c>
      <c r="B14" s="94">
        <f>B3*1000/28</f>
        <v>125</v>
      </c>
      <c r="C14" s="95" t="s">
        <v>8</v>
      </c>
      <c r="D14" s="94" t="s">
        <v>39</v>
      </c>
      <c r="E14" s="94">
        <f>B29*D7*D7*0.125</f>
        <v>19.510152539062499</v>
      </c>
      <c r="F14" s="94" t="s">
        <v>228</v>
      </c>
      <c r="G14" s="94"/>
      <c r="H14" s="94" t="s">
        <v>253</v>
      </c>
      <c r="I14" s="94">
        <v>20</v>
      </c>
      <c r="J14" s="94"/>
      <c r="K14" s="94"/>
      <c r="L14" s="94"/>
      <c r="M14" s="94"/>
    </row>
    <row r="15" spans="1:16" x14ac:dyDescent="0.35">
      <c r="A15" s="94" t="s">
        <v>254</v>
      </c>
      <c r="B15" s="94">
        <f>B14+0.5*B7+B6</f>
        <v>145</v>
      </c>
      <c r="C15" s="95" t="s">
        <v>8</v>
      </c>
      <c r="D15" s="94" t="s">
        <v>59</v>
      </c>
      <c r="E15" s="94">
        <f>B29*D7/2</f>
        <v>21.46921875</v>
      </c>
      <c r="F15" s="94" t="s">
        <v>3</v>
      </c>
      <c r="G15" s="94"/>
      <c r="H15" s="94" t="s">
        <v>109</v>
      </c>
      <c r="I15" s="94">
        <v>250</v>
      </c>
      <c r="J15" s="94"/>
      <c r="K15" s="94"/>
      <c r="L15" s="94"/>
      <c r="M15" s="94"/>
    </row>
    <row r="16" spans="1:16" x14ac:dyDescent="0.35">
      <c r="A16" s="94" t="s">
        <v>255</v>
      </c>
      <c r="B16" s="94">
        <f>B15+10</f>
        <v>155</v>
      </c>
      <c r="C16" s="95" t="s">
        <v>8</v>
      </c>
      <c r="D16" s="94"/>
      <c r="E16" s="94"/>
      <c r="F16" s="94"/>
      <c r="G16" s="94"/>
      <c r="H16" s="94" t="s">
        <v>256</v>
      </c>
      <c r="I16" s="94">
        <f>0.58*I15*(1)</f>
        <v>145</v>
      </c>
      <c r="J16" s="94"/>
      <c r="K16" s="94"/>
      <c r="L16" s="96">
        <f>B16</f>
        <v>155</v>
      </c>
      <c r="M16" s="94"/>
    </row>
    <row r="17" spans="1:18" x14ac:dyDescent="0.35">
      <c r="A17" s="96" t="s">
        <v>257</v>
      </c>
      <c r="B17" s="96">
        <f>B16-0.5*B7-B6</f>
        <v>135</v>
      </c>
      <c r="C17" s="98" t="s">
        <v>8</v>
      </c>
      <c r="D17" s="203" t="s">
        <v>258</v>
      </c>
      <c r="E17" s="203"/>
      <c r="F17" s="203"/>
      <c r="G17" s="94"/>
      <c r="H17" s="94" t="s">
        <v>259</v>
      </c>
      <c r="I17" s="94">
        <v>2</v>
      </c>
      <c r="J17" s="94"/>
      <c r="K17" s="94"/>
      <c r="L17" s="96" t="s">
        <v>8</v>
      </c>
      <c r="M17" s="94"/>
    </row>
    <row r="18" spans="1:18" x14ac:dyDescent="0.35">
      <c r="D18" s="94" t="s">
        <v>46</v>
      </c>
      <c r="E18" s="94">
        <f>(0.138*B4*1000*B17^2)*10^-6</f>
        <v>50.301000000000002</v>
      </c>
      <c r="F18" s="94" t="s">
        <v>228</v>
      </c>
      <c r="G18" s="94"/>
      <c r="H18" s="96" t="s">
        <v>260</v>
      </c>
      <c r="I18" s="94">
        <v>1.1000000000000001</v>
      </c>
      <c r="J18" s="94"/>
      <c r="K18" s="94"/>
      <c r="L18" s="94"/>
      <c r="M18" s="94"/>
    </row>
    <row r="19" spans="1:18" x14ac:dyDescent="0.35">
      <c r="A19" s="93" t="s">
        <v>261</v>
      </c>
      <c r="B19" s="94"/>
      <c r="C19" s="95"/>
      <c r="D19" s="96" t="s">
        <v>175</v>
      </c>
      <c r="E19" s="205" t="str">
        <f>IF(E18&gt;E14,"UNDER REINFORCED SECTION","OVER REINFORCED SECTION")</f>
        <v>UNDER REINFORCED SECTION</v>
      </c>
      <c r="F19" s="205"/>
      <c r="G19" s="205"/>
      <c r="H19" s="94" t="s">
        <v>262</v>
      </c>
      <c r="I19" s="94">
        <v>1.4</v>
      </c>
      <c r="J19" s="94"/>
      <c r="K19" s="94"/>
      <c r="L19" s="94"/>
      <c r="M19" s="94"/>
    </row>
    <row r="20" spans="1:18" x14ac:dyDescent="0.35">
      <c r="A20" s="94" t="s">
        <v>263</v>
      </c>
      <c r="B20" s="94"/>
      <c r="C20" s="95"/>
      <c r="D20" s="94"/>
      <c r="E20" s="94"/>
      <c r="F20" s="94"/>
      <c r="G20" s="94"/>
      <c r="H20" s="94" t="s">
        <v>264</v>
      </c>
      <c r="I20" s="94">
        <f>I14*I17*I18*I19</f>
        <v>61.599999999999994</v>
      </c>
      <c r="J20" s="94"/>
      <c r="K20" s="94"/>
      <c r="L20" s="94"/>
      <c r="M20" s="94"/>
    </row>
    <row r="21" spans="1:18" x14ac:dyDescent="0.35">
      <c r="A21" s="94" t="s">
        <v>265</v>
      </c>
      <c r="B21" s="94">
        <f>B3+B8/1000</f>
        <v>3.73</v>
      </c>
      <c r="C21" s="95" t="s">
        <v>9</v>
      </c>
      <c r="D21" s="206" t="s">
        <v>266</v>
      </c>
      <c r="E21" s="206"/>
      <c r="F21" s="94"/>
      <c r="G21" s="94"/>
      <c r="H21" s="94" t="s">
        <v>267</v>
      </c>
      <c r="I21" s="94">
        <f>D7/B17*1000</f>
        <v>26.925925925925927</v>
      </c>
      <c r="J21" s="94"/>
      <c r="K21" s="94"/>
      <c r="L21" s="94"/>
      <c r="M21" s="94"/>
      <c r="O21" s="100">
        <f>D5</f>
        <v>3.5</v>
      </c>
      <c r="P21" s="100" t="s">
        <v>9</v>
      </c>
    </row>
    <row r="22" spans="1:18" x14ac:dyDescent="0.35">
      <c r="A22" s="94" t="s">
        <v>268</v>
      </c>
      <c r="B22" s="94">
        <f>B3+B17/1000</f>
        <v>3.6349999999999998</v>
      </c>
      <c r="C22" s="95" t="s">
        <v>9</v>
      </c>
      <c r="D22" s="94" t="s">
        <v>269</v>
      </c>
      <c r="E22" s="94">
        <f>E14*10^6/(1000*B17^2)</f>
        <v>1.0705159143518519</v>
      </c>
      <c r="F22" s="94" t="s">
        <v>165</v>
      </c>
      <c r="G22" s="94"/>
      <c r="H22" s="96" t="s">
        <v>175</v>
      </c>
      <c r="I22" s="97" t="str">
        <f>IF(I21&lt;I20,"Okay","Not Okay")</f>
        <v>Okay</v>
      </c>
      <c r="J22" s="94"/>
      <c r="K22" s="94"/>
      <c r="L22" s="94"/>
      <c r="M22" s="94"/>
    </row>
    <row r="23" spans="1:18" x14ac:dyDescent="0.35">
      <c r="A23" s="96" t="s">
        <v>270</v>
      </c>
      <c r="B23" s="96">
        <f>MIN(B21:B22)</f>
        <v>3.6349999999999998</v>
      </c>
      <c r="C23" s="98" t="s">
        <v>9</v>
      </c>
      <c r="D23" s="96" t="s">
        <v>271</v>
      </c>
      <c r="E23" s="96">
        <f>(B4/(2*B5))*(1-SQRT(1-((4.598*E22)/B4)))*(1000*B17)</f>
        <v>428.52752253301634</v>
      </c>
      <c r="F23" s="96" t="s">
        <v>272</v>
      </c>
      <c r="G23" s="94"/>
      <c r="H23" s="94"/>
      <c r="I23" s="94"/>
      <c r="J23" s="94"/>
      <c r="K23" s="94"/>
      <c r="L23" s="94"/>
      <c r="M23" s="94"/>
    </row>
    <row r="24" spans="1:18" x14ac:dyDescent="0.35">
      <c r="D24" s="94"/>
      <c r="E24" s="94"/>
      <c r="F24" s="94"/>
      <c r="G24" s="94"/>
      <c r="H24" s="94"/>
      <c r="I24" s="94"/>
      <c r="J24" s="94"/>
      <c r="K24" s="94"/>
      <c r="L24" s="94"/>
      <c r="M24" s="94"/>
    </row>
    <row r="25" spans="1:18" x14ac:dyDescent="0.35">
      <c r="A25" s="93" t="s">
        <v>273</v>
      </c>
      <c r="B25" s="204" t="s">
        <v>274</v>
      </c>
      <c r="C25" s="207"/>
      <c r="D25" s="99" t="s">
        <v>275</v>
      </c>
      <c r="E25" s="94"/>
      <c r="F25" s="94"/>
      <c r="G25" s="94"/>
      <c r="H25" s="94"/>
      <c r="I25" s="94"/>
      <c r="J25" s="94"/>
      <c r="K25" s="94"/>
      <c r="L25" s="94"/>
      <c r="M25" s="94"/>
    </row>
    <row r="26" spans="1:18" x14ac:dyDescent="0.35">
      <c r="A26" s="94" t="s">
        <v>276</v>
      </c>
      <c r="B26" s="94">
        <f>(B16/1000*B11*1)</f>
        <v>3.875</v>
      </c>
      <c r="C26" s="95" t="s">
        <v>277</v>
      </c>
      <c r="D26" s="94" t="s">
        <v>278</v>
      </c>
      <c r="E26" s="94">
        <f>0.12/100*1000*B16</f>
        <v>186</v>
      </c>
      <c r="F26" s="94"/>
      <c r="G26" s="94"/>
      <c r="H26" s="94"/>
      <c r="I26" s="94"/>
      <c r="J26" s="94"/>
      <c r="K26" s="94"/>
      <c r="L26" s="94"/>
      <c r="M26" s="94"/>
    </row>
    <row r="27" spans="1:18" x14ac:dyDescent="0.35">
      <c r="A27" s="94" t="s">
        <v>279</v>
      </c>
      <c r="B27" s="94">
        <f>B10</f>
        <v>1</v>
      </c>
      <c r="C27" s="95" t="s">
        <v>277</v>
      </c>
      <c r="D27" s="96" t="s">
        <v>280</v>
      </c>
      <c r="E27" s="97" t="str">
        <f>IF(E26&lt;E23,"Okay","Not Okay")</f>
        <v>Okay</v>
      </c>
      <c r="F27" s="94"/>
      <c r="G27" s="94"/>
      <c r="H27" s="94"/>
      <c r="I27" s="94"/>
      <c r="J27" s="94"/>
      <c r="K27" s="94"/>
      <c r="L27" s="94"/>
      <c r="M27" s="94"/>
    </row>
    <row r="28" spans="1:18" x14ac:dyDescent="0.35">
      <c r="A28" s="94" t="s">
        <v>281</v>
      </c>
      <c r="B28" s="94">
        <f>B9</f>
        <v>3</v>
      </c>
      <c r="C28" s="95" t="s">
        <v>277</v>
      </c>
      <c r="D28" s="94"/>
      <c r="E28" s="94"/>
      <c r="F28" s="94"/>
      <c r="G28" s="94"/>
      <c r="H28" s="94"/>
      <c r="I28" s="94"/>
      <c r="J28" s="94"/>
      <c r="K28" s="94"/>
      <c r="L28" s="94"/>
      <c r="M28" s="94">
        <f>B8</f>
        <v>230</v>
      </c>
      <c r="N28" s="92" t="s">
        <v>8</v>
      </c>
      <c r="Q28" s="92">
        <f>B8</f>
        <v>230</v>
      </c>
      <c r="R28" s="92" t="s">
        <v>8</v>
      </c>
    </row>
    <row r="29" spans="1:18" x14ac:dyDescent="0.35">
      <c r="A29" s="94" t="s">
        <v>282</v>
      </c>
      <c r="B29" s="94">
        <f>1.5*SUM(B26:B28)</f>
        <v>11.8125</v>
      </c>
      <c r="C29" s="95" t="s">
        <v>277</v>
      </c>
      <c r="D29" s="93" t="s">
        <v>283</v>
      </c>
      <c r="E29" s="94"/>
      <c r="F29" s="94"/>
      <c r="G29" s="203" t="s">
        <v>284</v>
      </c>
      <c r="H29" s="203"/>
      <c r="I29" s="94"/>
      <c r="J29" s="94"/>
      <c r="K29" s="94"/>
      <c r="L29" s="94"/>
      <c r="M29" s="94"/>
    </row>
    <row r="30" spans="1:18" x14ac:dyDescent="0.35">
      <c r="D30" s="94" t="s">
        <v>285</v>
      </c>
      <c r="E30" s="94">
        <f>3.14*0.25*B7*B7</f>
        <v>78.5</v>
      </c>
      <c r="F30" s="94" t="s">
        <v>272</v>
      </c>
      <c r="G30" s="94" t="s">
        <v>286</v>
      </c>
      <c r="H30" s="94">
        <v>8</v>
      </c>
      <c r="I30" s="94" t="s">
        <v>8</v>
      </c>
      <c r="J30" s="94"/>
      <c r="K30" s="94"/>
      <c r="L30" s="94"/>
      <c r="M30" s="94"/>
    </row>
    <row r="31" spans="1:18" ht="16.5" x14ac:dyDescent="0.35">
      <c r="D31" s="94" t="s">
        <v>22</v>
      </c>
      <c r="E31" s="94">
        <f>E30/E23*1000</f>
        <v>183.18543354225721</v>
      </c>
      <c r="F31" s="94" t="s">
        <v>8</v>
      </c>
      <c r="G31" s="94" t="s">
        <v>285</v>
      </c>
      <c r="H31" s="94">
        <f>0.25*3.14*H30*H30</f>
        <v>50.24</v>
      </c>
      <c r="I31" s="94" t="s">
        <v>272</v>
      </c>
      <c r="J31" s="94"/>
      <c r="K31" s="201" t="s">
        <v>287</v>
      </c>
      <c r="L31" s="201"/>
      <c r="M31" s="201"/>
    </row>
    <row r="32" spans="1:18" ht="15.5" x14ac:dyDescent="0.35">
      <c r="D32" s="94" t="s">
        <v>288</v>
      </c>
      <c r="E32" s="94">
        <f>FLOOR(E31,25)</f>
        <v>175</v>
      </c>
      <c r="F32" s="94"/>
      <c r="G32" s="94" t="s">
        <v>22</v>
      </c>
      <c r="H32" s="94">
        <f>H31/E26*1000</f>
        <v>270.10752688172045</v>
      </c>
      <c r="I32" s="94" t="s">
        <v>8</v>
      </c>
      <c r="J32" s="94"/>
      <c r="K32" s="101" t="s">
        <v>144</v>
      </c>
      <c r="L32" s="101">
        <f>B23</f>
        <v>3.6349999999999998</v>
      </c>
      <c r="M32" s="101" t="s">
        <v>9</v>
      </c>
    </row>
    <row r="33" spans="4:13" ht="15.5" x14ac:dyDescent="0.35">
      <c r="D33" s="94" t="s">
        <v>289</v>
      </c>
      <c r="E33" s="94">
        <f>3*B17</f>
        <v>405</v>
      </c>
      <c r="F33" s="94" t="s">
        <v>8</v>
      </c>
      <c r="G33" s="94" t="s">
        <v>290</v>
      </c>
      <c r="H33" s="94">
        <f>5*B17</f>
        <v>675</v>
      </c>
      <c r="I33" s="94"/>
      <c r="J33" s="94"/>
      <c r="K33" s="101" t="s">
        <v>291</v>
      </c>
      <c r="L33" s="101">
        <f>B16</f>
        <v>155</v>
      </c>
      <c r="M33" s="101" t="s">
        <v>9</v>
      </c>
    </row>
    <row r="34" spans="4:13" ht="15.5" x14ac:dyDescent="0.35">
      <c r="D34" s="94" t="s">
        <v>292</v>
      </c>
      <c r="E34" s="94">
        <f>MIN(E33,300,E32)</f>
        <v>175</v>
      </c>
      <c r="F34" s="94" t="s">
        <v>8</v>
      </c>
      <c r="G34" s="94" t="s">
        <v>292</v>
      </c>
      <c r="H34" s="94">
        <f>MIN(H33,FLOOR(H32,25),450)</f>
        <v>250</v>
      </c>
      <c r="I34" s="94" t="s">
        <v>8</v>
      </c>
      <c r="J34" s="94"/>
      <c r="K34" s="101" t="s">
        <v>293</v>
      </c>
      <c r="L34" s="101">
        <f>E35</f>
        <v>448.57142857142856</v>
      </c>
      <c r="M34" s="101" t="s">
        <v>183</v>
      </c>
    </row>
    <row r="35" spans="4:13" ht="15.5" x14ac:dyDescent="0.35">
      <c r="D35" s="94" t="s">
        <v>294</v>
      </c>
      <c r="E35" s="94">
        <f>E30/E32*1000</f>
        <v>448.57142857142856</v>
      </c>
      <c r="F35" s="94" t="s">
        <v>183</v>
      </c>
      <c r="G35" s="94" t="s">
        <v>295</v>
      </c>
      <c r="H35" s="94">
        <f>H31/H34*1000</f>
        <v>200.96</v>
      </c>
      <c r="I35" s="94" t="s">
        <v>183</v>
      </c>
      <c r="J35" s="94"/>
      <c r="K35" s="101" t="s">
        <v>296</v>
      </c>
      <c r="L35" s="101">
        <f>E34</f>
        <v>175</v>
      </c>
      <c r="M35" s="101" t="s">
        <v>8</v>
      </c>
    </row>
    <row r="36" spans="4:13" ht="15.5" x14ac:dyDescent="0.35">
      <c r="D36" s="94"/>
      <c r="E36" s="94"/>
      <c r="F36" s="94"/>
      <c r="G36" s="94"/>
      <c r="H36" s="94"/>
      <c r="I36" s="94"/>
      <c r="J36" s="94"/>
      <c r="K36" s="101" t="s">
        <v>297</v>
      </c>
      <c r="L36" s="101">
        <f>H35</f>
        <v>200.96</v>
      </c>
      <c r="M36" s="101" t="s">
        <v>183</v>
      </c>
    </row>
    <row r="37" spans="4:13" ht="15.5" x14ac:dyDescent="0.35">
      <c r="D37" s="94"/>
      <c r="E37" s="94"/>
      <c r="F37" s="94"/>
      <c r="G37" s="94"/>
      <c r="H37" s="94"/>
      <c r="I37" s="94"/>
      <c r="J37" s="94"/>
      <c r="K37" s="101" t="s">
        <v>296</v>
      </c>
      <c r="L37" s="101">
        <f>H34</f>
        <v>250</v>
      </c>
      <c r="M37" s="101" t="s">
        <v>8</v>
      </c>
    </row>
    <row r="38" spans="4:13" x14ac:dyDescent="0.35">
      <c r="D38" s="94"/>
      <c r="E38" s="94"/>
      <c r="F38" s="94"/>
      <c r="G38" s="94"/>
      <c r="H38" s="94"/>
      <c r="I38" s="94"/>
      <c r="J38" s="94"/>
      <c r="K38" s="94"/>
      <c r="L38" s="94"/>
      <c r="M38" s="94"/>
    </row>
    <row r="39" spans="4:13" x14ac:dyDescent="0.35">
      <c r="D39" s="94"/>
      <c r="E39" s="94"/>
      <c r="F39" s="94"/>
      <c r="G39" s="94"/>
      <c r="H39" s="94"/>
      <c r="I39" s="94"/>
      <c r="J39" s="94"/>
      <c r="K39" s="94"/>
      <c r="L39" s="94"/>
      <c r="M39" s="94"/>
    </row>
    <row r="40" spans="4:13" x14ac:dyDescent="0.35">
      <c r="D40" s="94"/>
      <c r="E40" s="94"/>
      <c r="F40" s="94"/>
      <c r="G40" s="94"/>
      <c r="H40" s="94"/>
      <c r="I40" s="94"/>
      <c r="J40" s="94"/>
      <c r="K40" s="94"/>
      <c r="L40" s="94"/>
      <c r="M40" s="94"/>
    </row>
    <row r="41" spans="4:13" x14ac:dyDescent="0.35">
      <c r="D41" s="94"/>
      <c r="E41" s="94"/>
      <c r="F41" s="94"/>
      <c r="G41" s="94"/>
      <c r="H41" s="94"/>
      <c r="I41" s="94"/>
      <c r="J41" s="94"/>
      <c r="K41" s="94"/>
      <c r="L41" s="94"/>
      <c r="M41" s="94"/>
    </row>
    <row r="42" spans="4:13" x14ac:dyDescent="0.35">
      <c r="D42" s="94"/>
      <c r="E42" s="94"/>
      <c r="F42" s="94"/>
      <c r="G42" s="94"/>
      <c r="H42" s="94"/>
      <c r="I42" s="94"/>
      <c r="J42" s="94"/>
      <c r="K42" s="94"/>
      <c r="L42" s="94"/>
      <c r="M42" s="94"/>
    </row>
    <row r="43" spans="4:13" x14ac:dyDescent="0.35">
      <c r="D43" s="94"/>
      <c r="E43" s="94"/>
      <c r="F43" s="94"/>
      <c r="G43" s="94"/>
      <c r="H43" s="94"/>
      <c r="I43" s="94"/>
      <c r="J43" s="94"/>
      <c r="K43" s="94"/>
      <c r="L43" s="94"/>
      <c r="M43" s="94"/>
    </row>
    <row r="44" spans="4:13" x14ac:dyDescent="0.35">
      <c r="D44" s="94"/>
      <c r="E44" s="94"/>
      <c r="F44" s="94"/>
      <c r="G44" s="94"/>
      <c r="H44" s="94"/>
      <c r="I44" s="94"/>
      <c r="J44" s="94"/>
      <c r="K44" s="94"/>
      <c r="L44" s="94"/>
      <c r="M44" s="94"/>
    </row>
    <row r="45" spans="4:13" x14ac:dyDescent="0.35">
      <c r="D45" s="94"/>
      <c r="E45" s="94"/>
      <c r="F45" s="94"/>
      <c r="G45" s="94"/>
      <c r="H45" s="94"/>
      <c r="I45" s="94"/>
      <c r="J45" s="94"/>
      <c r="K45" s="94"/>
      <c r="L45" s="94"/>
      <c r="M45" s="94"/>
    </row>
    <row r="46" spans="4:13" x14ac:dyDescent="0.35">
      <c r="D46" s="94"/>
      <c r="E46" s="94"/>
      <c r="F46" s="94"/>
      <c r="G46" s="94"/>
      <c r="H46" s="94"/>
      <c r="I46" s="94"/>
      <c r="J46" s="94"/>
      <c r="K46" s="94"/>
      <c r="L46" s="94"/>
      <c r="M46" s="94"/>
    </row>
    <row r="47" spans="4:13" x14ac:dyDescent="0.35">
      <c r="D47" s="94"/>
      <c r="E47" s="94"/>
      <c r="F47" s="94"/>
      <c r="G47" s="94"/>
      <c r="H47" s="94"/>
      <c r="I47" s="94"/>
      <c r="J47" s="94"/>
      <c r="K47" s="94"/>
      <c r="L47" s="94"/>
      <c r="M47" s="94"/>
    </row>
    <row r="48" spans="4:13" x14ac:dyDescent="0.35">
      <c r="D48" s="94"/>
      <c r="E48" s="94"/>
      <c r="F48" s="94"/>
      <c r="G48" s="94"/>
      <c r="H48" s="94"/>
      <c r="I48" s="94"/>
      <c r="J48" s="94"/>
      <c r="K48" s="94"/>
      <c r="L48" s="94"/>
      <c r="M48" s="94"/>
    </row>
    <row r="49" spans="4:13" x14ac:dyDescent="0.35">
      <c r="D49" s="94"/>
      <c r="E49" s="94"/>
      <c r="F49" s="94"/>
      <c r="G49" s="94"/>
      <c r="H49" s="94"/>
      <c r="I49" s="94"/>
      <c r="J49" s="94"/>
      <c r="K49" s="94"/>
      <c r="L49" s="94"/>
      <c r="M49" s="94"/>
    </row>
    <row r="50" spans="4:13" x14ac:dyDescent="0.35">
      <c r="D50" s="94"/>
      <c r="E50" s="94"/>
      <c r="F50" s="94"/>
      <c r="G50" s="94"/>
      <c r="H50" s="94"/>
      <c r="I50" s="94"/>
      <c r="J50" s="94"/>
      <c r="K50" s="94"/>
      <c r="L50" s="94"/>
      <c r="M50" s="94"/>
    </row>
  </sheetData>
  <mergeCells count="12">
    <mergeCell ref="K31:M31"/>
    <mergeCell ref="A1:P1"/>
    <mergeCell ref="D4:F4"/>
    <mergeCell ref="D6:F6"/>
    <mergeCell ref="E9:F9"/>
    <mergeCell ref="D13:G13"/>
    <mergeCell ref="H13:J13"/>
    <mergeCell ref="D17:F17"/>
    <mergeCell ref="E19:G19"/>
    <mergeCell ref="D21:E21"/>
    <mergeCell ref="B25:C25"/>
    <mergeCell ref="G29:H2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FBCBF-662B-48AD-9E49-4439CC5F910A}">
  <dimension ref="A1:O38"/>
  <sheetViews>
    <sheetView topLeftCell="L1" zoomScale="88" workbookViewId="0">
      <selection activeCell="B5" sqref="B5"/>
    </sheetView>
  </sheetViews>
  <sheetFormatPr defaultColWidth="9.08984375" defaultRowHeight="16" x14ac:dyDescent="0.4"/>
  <cols>
    <col min="1" max="1" width="28.36328125" style="102" customWidth="1"/>
    <col min="2" max="2" width="12.36328125" style="102" customWidth="1"/>
    <col min="3" max="4" width="9.08984375" style="102"/>
    <col min="5" max="5" width="26.90625" style="102" customWidth="1"/>
    <col min="6" max="6" width="9.36328125" style="102" bestFit="1" customWidth="1"/>
    <col min="7" max="8" width="9.08984375" style="102"/>
    <col min="9" max="9" width="25.6328125" style="102" customWidth="1"/>
    <col min="10" max="10" width="9.36328125" style="102" bestFit="1" customWidth="1"/>
    <col min="11" max="12" width="9.08984375" style="102"/>
    <col min="13" max="13" width="29.08984375" style="102" customWidth="1"/>
    <col min="14" max="14" width="9.36328125" style="102" bestFit="1" customWidth="1"/>
    <col min="15" max="16384" width="9.08984375" style="102"/>
  </cols>
  <sheetData>
    <row r="1" spans="1:15" x14ac:dyDescent="0.4">
      <c r="F1" s="208" t="s">
        <v>298</v>
      </c>
      <c r="G1" s="208"/>
      <c r="H1" s="208"/>
      <c r="I1" s="208"/>
      <c r="J1" s="208"/>
      <c r="K1" s="208"/>
    </row>
    <row r="2" spans="1:15" x14ac:dyDescent="0.4">
      <c r="F2" s="208"/>
      <c r="G2" s="208"/>
      <c r="H2" s="208"/>
      <c r="I2" s="208"/>
      <c r="J2" s="208"/>
      <c r="K2" s="208"/>
    </row>
    <row r="4" spans="1:15" x14ac:dyDescent="0.4">
      <c r="A4" s="103" t="s">
        <v>299</v>
      </c>
      <c r="B4" s="104"/>
      <c r="C4" s="104"/>
      <c r="E4" s="103" t="s">
        <v>300</v>
      </c>
      <c r="F4" s="104"/>
      <c r="G4" s="104"/>
      <c r="I4" s="103" t="s">
        <v>301</v>
      </c>
      <c r="J4" s="104"/>
      <c r="M4" s="103" t="s">
        <v>302</v>
      </c>
      <c r="N4" s="104"/>
      <c r="O4" s="104"/>
    </row>
    <row r="5" spans="1:15" x14ac:dyDescent="0.4">
      <c r="A5" s="104" t="s">
        <v>303</v>
      </c>
      <c r="B5" s="104">
        <v>4</v>
      </c>
      <c r="C5" s="104" t="s">
        <v>9</v>
      </c>
      <c r="E5" s="104" t="s">
        <v>304</v>
      </c>
      <c r="F5" s="104"/>
      <c r="G5" s="104"/>
      <c r="I5" s="104" t="s">
        <v>305</v>
      </c>
      <c r="J5" s="104">
        <f>SQRT((F20*10^6)/(0.138*B9*1000))</f>
        <v>94.524898951224131</v>
      </c>
      <c r="M5" s="104" t="s">
        <v>306</v>
      </c>
      <c r="N5" s="104">
        <f>((F21*1000)/(1000*B20))</f>
        <v>0.18525</v>
      </c>
      <c r="O5" s="104" t="s">
        <v>307</v>
      </c>
    </row>
    <row r="6" spans="1:15" x14ac:dyDescent="0.4">
      <c r="A6" s="104" t="s">
        <v>308</v>
      </c>
      <c r="B6" s="104">
        <v>7</v>
      </c>
      <c r="C6" s="104" t="s">
        <v>9</v>
      </c>
      <c r="E6" s="104" t="s">
        <v>309</v>
      </c>
      <c r="F6" s="104">
        <f>(B5*1000)+B20</f>
        <v>4160</v>
      </c>
      <c r="G6" s="104" t="s">
        <v>8</v>
      </c>
      <c r="I6" s="104"/>
      <c r="J6" s="104" t="str">
        <f>IF(J5&lt;B20,"safe","revice depth")</f>
        <v>safe</v>
      </c>
      <c r="M6" s="104" t="s">
        <v>310</v>
      </c>
      <c r="N6" s="104">
        <f>(100*((J16)/(1000*B20)))</f>
        <v>0.3928571428571429</v>
      </c>
      <c r="O6" s="104"/>
    </row>
    <row r="7" spans="1:15" x14ac:dyDescent="0.4">
      <c r="A7" s="104" t="s">
        <v>120</v>
      </c>
      <c r="B7" s="104">
        <v>4</v>
      </c>
      <c r="C7" s="104" t="s">
        <v>311</v>
      </c>
      <c r="E7" s="104" t="s">
        <v>312</v>
      </c>
      <c r="F7" s="104">
        <f>(B5*1000)+B13</f>
        <v>4230</v>
      </c>
      <c r="G7" s="104" t="s">
        <v>8</v>
      </c>
      <c r="M7" s="104" t="s">
        <v>36</v>
      </c>
      <c r="N7" s="104">
        <v>0.63100000000000001</v>
      </c>
      <c r="O7" s="104" t="s">
        <v>307</v>
      </c>
    </row>
    <row r="8" spans="1:15" ht="16.5" thickBot="1" x14ac:dyDescent="0.45">
      <c r="A8" s="104" t="s">
        <v>313</v>
      </c>
      <c r="B8" s="104">
        <v>1</v>
      </c>
      <c r="C8" s="104" t="s">
        <v>311</v>
      </c>
      <c r="E8" s="105" t="s">
        <v>314</v>
      </c>
      <c r="F8" s="106">
        <f>MIN(F6,F7)</f>
        <v>4160</v>
      </c>
      <c r="G8" s="107" t="s">
        <v>8</v>
      </c>
      <c r="M8" s="108" t="s">
        <v>315</v>
      </c>
      <c r="N8" s="109" t="str">
        <f>IF(N5&lt;N7,"safe","revice calculations")</f>
        <v>safe</v>
      </c>
    </row>
    <row r="9" spans="1:15" x14ac:dyDescent="0.4">
      <c r="A9" s="104" t="s">
        <v>105</v>
      </c>
      <c r="B9" s="104">
        <v>25</v>
      </c>
      <c r="C9" s="104" t="s">
        <v>307</v>
      </c>
      <c r="E9" s="104" t="s">
        <v>316</v>
      </c>
      <c r="F9" s="104"/>
      <c r="G9" s="104"/>
      <c r="I9" s="103" t="s">
        <v>317</v>
      </c>
      <c r="J9" s="104"/>
      <c r="K9" s="104"/>
    </row>
    <row r="10" spans="1:15" x14ac:dyDescent="0.4">
      <c r="A10" s="104" t="s">
        <v>109</v>
      </c>
      <c r="B10" s="104">
        <v>415</v>
      </c>
      <c r="C10" s="104" t="s">
        <v>307</v>
      </c>
      <c r="E10" s="104" t="s">
        <v>309</v>
      </c>
      <c r="F10" s="104">
        <f>(B6*1000)+B20</f>
        <v>7160</v>
      </c>
      <c r="G10" s="104" t="s">
        <v>8</v>
      </c>
      <c r="I10" s="104" t="s">
        <v>92</v>
      </c>
      <c r="J10" s="104">
        <f>(B9/(2*B10))*(1-SQRT(1-((4.6*F20*10^6)/(B9*1000*B20*B20))))*(1000*B20)</f>
        <v>567.26248086124349</v>
      </c>
      <c r="K10" s="104" t="s">
        <v>318</v>
      </c>
      <c r="M10" s="103" t="s">
        <v>117</v>
      </c>
      <c r="N10" s="104"/>
      <c r="O10" s="104"/>
    </row>
    <row r="11" spans="1:15" x14ac:dyDescent="0.4">
      <c r="A11" s="104" t="s">
        <v>319</v>
      </c>
      <c r="B11" s="104">
        <v>10</v>
      </c>
      <c r="C11" s="104" t="s">
        <v>8</v>
      </c>
      <c r="E11" s="104" t="s">
        <v>312</v>
      </c>
      <c r="F11" s="104">
        <f>(B6*1000)+B13</f>
        <v>7230</v>
      </c>
      <c r="G11" s="104" t="s">
        <v>8</v>
      </c>
      <c r="I11" s="104" t="s">
        <v>320</v>
      </c>
      <c r="J11" s="104">
        <f>0.12 %*1000*B20</f>
        <v>192</v>
      </c>
      <c r="K11" s="104" t="s">
        <v>318</v>
      </c>
      <c r="M11" s="104" t="s">
        <v>310</v>
      </c>
      <c r="N11" s="104">
        <f>(100*((J16)/(1000*B20)))</f>
        <v>0.3928571428571429</v>
      </c>
      <c r="O11" s="104"/>
    </row>
    <row r="12" spans="1:15" ht="16.5" thickBot="1" x14ac:dyDescent="0.45">
      <c r="A12" s="104" t="s">
        <v>321</v>
      </c>
      <c r="B12" s="104">
        <v>15</v>
      </c>
      <c r="C12" s="104" t="s">
        <v>8</v>
      </c>
      <c r="E12" s="108" t="s">
        <v>322</v>
      </c>
      <c r="F12" s="110">
        <f>MIN(F10,F11)</f>
        <v>7160</v>
      </c>
      <c r="G12" s="109" t="s">
        <v>8</v>
      </c>
      <c r="I12" s="105" t="s">
        <v>323</v>
      </c>
      <c r="J12" s="106">
        <f>MAX(J10,J11)</f>
        <v>567.26248086124349</v>
      </c>
      <c r="K12" s="107" t="s">
        <v>318</v>
      </c>
      <c r="M12" s="104" t="s">
        <v>324</v>
      </c>
      <c r="N12" s="104">
        <f>0.58*B10*((J12/J16))</f>
        <v>217.2228531825248</v>
      </c>
      <c r="O12" s="104" t="s">
        <v>307</v>
      </c>
    </row>
    <row r="13" spans="1:15" x14ac:dyDescent="0.4">
      <c r="A13" s="104" t="s">
        <v>325</v>
      </c>
      <c r="B13" s="104">
        <v>230</v>
      </c>
      <c r="C13" s="104" t="s">
        <v>8</v>
      </c>
      <c r="I13" s="104" t="s">
        <v>326</v>
      </c>
      <c r="J13" s="104">
        <f>(22/(7*4))*B11*B11</f>
        <v>78.571428571428569</v>
      </c>
      <c r="K13" s="104" t="s">
        <v>318</v>
      </c>
      <c r="M13" s="104" t="s">
        <v>327</v>
      </c>
      <c r="N13" s="104">
        <v>1.6</v>
      </c>
      <c r="O13" s="104"/>
    </row>
    <row r="14" spans="1:15" x14ac:dyDescent="0.4">
      <c r="A14" s="104" t="s">
        <v>328</v>
      </c>
      <c r="B14" s="104">
        <f>B6/B5</f>
        <v>1.75</v>
      </c>
      <c r="C14" s="104"/>
      <c r="E14" s="103" t="s">
        <v>329</v>
      </c>
      <c r="F14" s="104"/>
      <c r="G14" s="104"/>
      <c r="I14" s="104" t="s">
        <v>330</v>
      </c>
      <c r="J14" s="104">
        <f>J12/J13</f>
        <v>7.2197043018703715</v>
      </c>
      <c r="K14" s="104"/>
      <c r="M14" s="104" t="s">
        <v>331</v>
      </c>
      <c r="N14" s="104">
        <f>20*N13</f>
        <v>32</v>
      </c>
      <c r="O14" s="104"/>
    </row>
    <row r="15" spans="1:15" ht="16.5" thickBot="1" x14ac:dyDescent="0.45">
      <c r="A15" s="111" t="s">
        <v>332</v>
      </c>
      <c r="B15" s="107" t="str">
        <f>IF(B14&lt;2,"two way slab ","one way slab")</f>
        <v xml:space="preserve">two way slab </v>
      </c>
      <c r="E15" s="104" t="s">
        <v>333</v>
      </c>
      <c r="F15" s="104">
        <f>25*(B21/1000)</f>
        <v>4.5</v>
      </c>
      <c r="G15" s="104" t="s">
        <v>311</v>
      </c>
      <c r="I15" s="105" t="s">
        <v>334</v>
      </c>
      <c r="J15" s="107">
        <f>MROUND(J14,2)</f>
        <v>8</v>
      </c>
      <c r="M15" s="104" t="s">
        <v>335</v>
      </c>
      <c r="N15" s="104">
        <f>F6/B20</f>
        <v>26</v>
      </c>
      <c r="O15" s="104"/>
    </row>
    <row r="16" spans="1:15" ht="16.5" thickBot="1" x14ac:dyDescent="0.45">
      <c r="B16" s="209" t="str">
        <f>IF(B14&lt;2,"calculations in sheet 2","calculations in sheet 1")</f>
        <v>calculations in sheet 2</v>
      </c>
      <c r="C16" s="210"/>
      <c r="E16" s="104" t="s">
        <v>120</v>
      </c>
      <c r="F16" s="104">
        <f>B7</f>
        <v>4</v>
      </c>
      <c r="G16" s="104" t="s">
        <v>311</v>
      </c>
      <c r="I16" s="112" t="s">
        <v>336</v>
      </c>
      <c r="J16" s="113">
        <f>J15*(22/(7*4))*B11*B11</f>
        <v>628.57142857142856</v>
      </c>
      <c r="K16" s="114" t="s">
        <v>318</v>
      </c>
      <c r="M16" s="108" t="s">
        <v>315</v>
      </c>
      <c r="N16" s="109" t="str">
        <f>IF(N15&lt;N14,"safe","revice calculations")</f>
        <v>safe</v>
      </c>
    </row>
    <row r="17" spans="1:15" ht="16.5" thickBot="1" x14ac:dyDescent="0.45">
      <c r="B17" s="211"/>
      <c r="C17" s="212"/>
      <c r="E17" s="104" t="s">
        <v>313</v>
      </c>
      <c r="F17" s="104">
        <f>B8</f>
        <v>1</v>
      </c>
      <c r="G17" s="104" t="s">
        <v>311</v>
      </c>
    </row>
    <row r="18" spans="1:15" ht="16.5" thickBot="1" x14ac:dyDescent="0.45">
      <c r="A18" s="115" t="s">
        <v>337</v>
      </c>
      <c r="E18" s="104" t="s">
        <v>338</v>
      </c>
      <c r="F18" s="104">
        <f>F15+F16+F17</f>
        <v>9.5</v>
      </c>
      <c r="G18" s="104" t="s">
        <v>311</v>
      </c>
      <c r="I18" s="103" t="s">
        <v>339</v>
      </c>
      <c r="J18" s="104"/>
      <c r="K18" s="104"/>
    </row>
    <row r="19" spans="1:15" x14ac:dyDescent="0.4">
      <c r="A19" s="104" t="s">
        <v>340</v>
      </c>
      <c r="B19" s="104">
        <f>(B5*1000)/25</f>
        <v>160</v>
      </c>
      <c r="C19" s="104" t="s">
        <v>8</v>
      </c>
      <c r="E19" s="104" t="s">
        <v>341</v>
      </c>
      <c r="F19" s="104">
        <f>1.5*F18</f>
        <v>14.25</v>
      </c>
      <c r="G19" s="104" t="s">
        <v>311</v>
      </c>
      <c r="I19" s="104" t="s">
        <v>342</v>
      </c>
      <c r="J19" s="104">
        <f>((J13/J12)*1000)</f>
        <v>138.50982785277441</v>
      </c>
      <c r="K19" s="104" t="s">
        <v>8</v>
      </c>
      <c r="M19" s="116" t="s">
        <v>80</v>
      </c>
      <c r="N19" s="117"/>
      <c r="O19" s="118"/>
    </row>
    <row r="20" spans="1:15" x14ac:dyDescent="0.4">
      <c r="A20" s="119" t="s">
        <v>343</v>
      </c>
      <c r="B20" s="119">
        <f>MROUND(B19,10)</f>
        <v>160</v>
      </c>
      <c r="C20" s="119" t="s">
        <v>8</v>
      </c>
      <c r="E20" s="120" t="s">
        <v>39</v>
      </c>
      <c r="F20" s="121">
        <f>((F19*((F8/1000)^2))/8)</f>
        <v>30.825600000000005</v>
      </c>
      <c r="G20" s="122" t="s">
        <v>344</v>
      </c>
      <c r="I20" s="104" t="s">
        <v>345</v>
      </c>
      <c r="J20" s="104">
        <f>3*B19</f>
        <v>480</v>
      </c>
      <c r="K20" s="104" t="s">
        <v>8</v>
      </c>
      <c r="M20" s="123" t="s">
        <v>346</v>
      </c>
      <c r="N20" s="102">
        <f>B21</f>
        <v>180</v>
      </c>
      <c r="O20" s="124" t="s">
        <v>8</v>
      </c>
    </row>
    <row r="21" spans="1:15" ht="16.5" thickBot="1" x14ac:dyDescent="0.45">
      <c r="A21" s="104" t="s">
        <v>347</v>
      </c>
      <c r="B21" s="104">
        <f>B20+B12+(B11/2)</f>
        <v>180</v>
      </c>
      <c r="C21" s="104" t="s">
        <v>8</v>
      </c>
      <c r="D21" s="125"/>
      <c r="E21" s="126" t="s">
        <v>59</v>
      </c>
      <c r="F21" s="126">
        <f>((F19*(F8/1000))/2)</f>
        <v>29.64</v>
      </c>
      <c r="G21" s="127" t="s">
        <v>348</v>
      </c>
      <c r="I21" s="104" t="s">
        <v>349</v>
      </c>
      <c r="J21" s="104">
        <v>300</v>
      </c>
      <c r="K21" s="104" t="s">
        <v>8</v>
      </c>
      <c r="M21" s="123" t="s">
        <v>350</v>
      </c>
      <c r="N21" s="102">
        <f>J23</f>
        <v>150</v>
      </c>
      <c r="O21" s="124" t="s">
        <v>8</v>
      </c>
    </row>
    <row r="22" spans="1:15" ht="16.5" thickBot="1" x14ac:dyDescent="0.45">
      <c r="I22" s="108" t="s">
        <v>351</v>
      </c>
      <c r="J22" s="110">
        <f>MIN(J19,J20,J21)</f>
        <v>138.50982785277441</v>
      </c>
      <c r="K22" s="109" t="s">
        <v>8</v>
      </c>
      <c r="M22" s="128" t="s">
        <v>352</v>
      </c>
      <c r="N22" s="129">
        <f>J38</f>
        <v>270</v>
      </c>
      <c r="O22" s="130" t="s">
        <v>8</v>
      </c>
    </row>
    <row r="23" spans="1:15" ht="16.5" thickBot="1" x14ac:dyDescent="0.45">
      <c r="I23" s="131" t="s">
        <v>353</v>
      </c>
      <c r="J23" s="132">
        <f>MROUND(J22,25)</f>
        <v>150</v>
      </c>
      <c r="K23" s="133" t="s">
        <v>8</v>
      </c>
    </row>
    <row r="25" spans="1:15" ht="16.5" thickBot="1" x14ac:dyDescent="0.45"/>
    <row r="26" spans="1:15" x14ac:dyDescent="0.4">
      <c r="A26" s="104"/>
      <c r="I26" s="134" t="s">
        <v>354</v>
      </c>
      <c r="J26" s="135"/>
      <c r="K26" s="136"/>
    </row>
    <row r="27" spans="1:15" x14ac:dyDescent="0.4">
      <c r="I27" s="123" t="s">
        <v>101</v>
      </c>
      <c r="J27" s="102">
        <f>0.12 %*1000*B20</f>
        <v>192</v>
      </c>
      <c r="K27" s="124" t="s">
        <v>318</v>
      </c>
    </row>
    <row r="28" spans="1:15" x14ac:dyDescent="0.4">
      <c r="I28" s="123" t="s">
        <v>355</v>
      </c>
      <c r="J28" s="102">
        <v>8</v>
      </c>
      <c r="K28" s="124" t="s">
        <v>8</v>
      </c>
    </row>
    <row r="29" spans="1:15" x14ac:dyDescent="0.4">
      <c r="I29" s="123" t="s">
        <v>326</v>
      </c>
      <c r="J29" s="102">
        <f>(22/(7*4))*J28*J28</f>
        <v>50.285714285714285</v>
      </c>
      <c r="K29" s="124" t="s">
        <v>318</v>
      </c>
    </row>
    <row r="30" spans="1:15" x14ac:dyDescent="0.4">
      <c r="I30" s="123" t="s">
        <v>356</v>
      </c>
      <c r="J30" s="102">
        <f>J27/J29</f>
        <v>3.8181818181818183</v>
      </c>
      <c r="K30" s="124"/>
    </row>
    <row r="31" spans="1:15" x14ac:dyDescent="0.4">
      <c r="I31" s="123" t="s">
        <v>334</v>
      </c>
      <c r="J31" s="102">
        <f>MROUND(J30,2)</f>
        <v>4</v>
      </c>
      <c r="K31" s="124"/>
    </row>
    <row r="32" spans="1:15" x14ac:dyDescent="0.4">
      <c r="I32" s="123" t="s">
        <v>74</v>
      </c>
      <c r="J32" s="102">
        <f>J31*(22/(7*4))*J28*J28</f>
        <v>201.14285714285714</v>
      </c>
      <c r="K32" s="124" t="s">
        <v>318</v>
      </c>
    </row>
    <row r="33" spans="9:11" x14ac:dyDescent="0.4">
      <c r="I33" s="123"/>
      <c r="K33" s="124"/>
    </row>
    <row r="34" spans="9:11" x14ac:dyDescent="0.4">
      <c r="I34" s="137" t="s">
        <v>357</v>
      </c>
      <c r="K34" s="124"/>
    </row>
    <row r="35" spans="9:11" x14ac:dyDescent="0.4">
      <c r="I35" s="123" t="s">
        <v>358</v>
      </c>
      <c r="J35" s="102">
        <f>((J29/J27)*1000)</f>
        <v>261.90476190476193</v>
      </c>
      <c r="K35" s="124" t="s">
        <v>8</v>
      </c>
    </row>
    <row r="36" spans="9:11" x14ac:dyDescent="0.4">
      <c r="I36" s="123" t="s">
        <v>359</v>
      </c>
      <c r="J36" s="102">
        <v>450</v>
      </c>
      <c r="K36" s="124" t="s">
        <v>8</v>
      </c>
    </row>
    <row r="37" spans="9:11" x14ac:dyDescent="0.4">
      <c r="I37" s="123" t="s">
        <v>360</v>
      </c>
      <c r="J37" s="102">
        <f>MIN(J35,J36)</f>
        <v>261.90476190476193</v>
      </c>
      <c r="K37" s="124"/>
    </row>
    <row r="38" spans="9:11" ht="16.5" thickBot="1" x14ac:dyDescent="0.45">
      <c r="I38" s="108" t="s">
        <v>342</v>
      </c>
      <c r="J38" s="110">
        <f>MROUND(J37,30)</f>
        <v>270</v>
      </c>
      <c r="K38" s="109" t="s">
        <v>8</v>
      </c>
    </row>
  </sheetData>
  <mergeCells count="2">
    <mergeCell ref="F1:K2"/>
    <mergeCell ref="B16:C1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D527-55AB-45EE-BFEB-D837E8C7753A}">
  <dimension ref="A1:V38"/>
  <sheetViews>
    <sheetView zoomScale="80" workbookViewId="0">
      <selection activeCell="E212" sqref="E212"/>
    </sheetView>
  </sheetViews>
  <sheetFormatPr defaultColWidth="8.90625" defaultRowHeight="14.5" x14ac:dyDescent="0.35"/>
  <cols>
    <col min="1" max="1" width="32" style="49" bestFit="1" customWidth="1"/>
    <col min="2" max="4" width="8.90625" style="49"/>
    <col min="5" max="5" width="28.453125" style="49" bestFit="1" customWidth="1"/>
    <col min="6" max="6" width="12" style="49" bestFit="1" customWidth="1"/>
    <col min="7" max="7" width="8.90625" style="49"/>
    <col min="8" max="8" width="10" style="49" bestFit="1" customWidth="1"/>
    <col min="9" max="9" width="8.90625" style="49"/>
    <col min="10" max="10" width="20.36328125" style="49" bestFit="1" customWidth="1"/>
    <col min="11" max="16384" width="8.90625" style="49"/>
  </cols>
  <sheetData>
    <row r="1" spans="1:22" x14ac:dyDescent="0.35">
      <c r="A1" s="213" t="s">
        <v>361</v>
      </c>
      <c r="B1" s="214"/>
      <c r="C1" s="214"/>
      <c r="D1" s="214"/>
      <c r="E1" s="214"/>
      <c r="F1" s="214"/>
      <c r="G1" s="214"/>
      <c r="H1" s="214"/>
      <c r="I1" s="214"/>
      <c r="J1" s="214"/>
      <c r="K1" s="214"/>
      <c r="L1" s="214"/>
      <c r="M1" s="214"/>
      <c r="N1" s="214"/>
      <c r="O1" s="215"/>
      <c r="P1" s="73"/>
      <c r="Q1" s="73"/>
      <c r="R1" s="73"/>
      <c r="S1" s="73"/>
      <c r="T1" s="73"/>
      <c r="U1" s="73"/>
      <c r="V1" s="73"/>
    </row>
    <row r="2" spans="1:22" x14ac:dyDescent="0.35">
      <c r="A2" s="72" t="s">
        <v>94</v>
      </c>
      <c r="B2" s="73"/>
      <c r="C2" s="73"/>
      <c r="D2" s="73"/>
      <c r="E2" s="73"/>
      <c r="F2" s="73"/>
      <c r="G2" s="73"/>
      <c r="H2" s="73"/>
      <c r="I2" s="73"/>
      <c r="J2" s="73"/>
      <c r="K2" s="73"/>
      <c r="L2" s="73"/>
      <c r="M2" s="73"/>
      <c r="N2" s="73"/>
      <c r="O2" s="73"/>
      <c r="P2" s="73"/>
      <c r="Q2" s="73"/>
      <c r="R2" s="73"/>
      <c r="S2" s="73"/>
      <c r="T2" s="73"/>
      <c r="U2" s="73"/>
      <c r="V2" s="73"/>
    </row>
    <row r="3" spans="1:22" x14ac:dyDescent="0.35">
      <c r="A3" s="73"/>
      <c r="B3" s="73"/>
      <c r="C3" s="73"/>
      <c r="D3" s="73"/>
      <c r="E3" s="73"/>
      <c r="F3" s="73"/>
      <c r="G3" s="73"/>
      <c r="H3" s="73"/>
      <c r="I3" s="73"/>
      <c r="J3" s="73"/>
      <c r="K3" s="73"/>
      <c r="L3" s="73"/>
      <c r="M3" s="73"/>
      <c r="N3" s="73"/>
      <c r="O3" s="73"/>
      <c r="P3" s="73"/>
      <c r="Q3" s="73"/>
      <c r="R3" s="73"/>
      <c r="S3" s="73"/>
      <c r="T3" s="73"/>
      <c r="U3" s="73"/>
      <c r="V3" s="73"/>
    </row>
    <row r="4" spans="1:22" x14ac:dyDescent="0.35">
      <c r="A4" s="73"/>
      <c r="B4" s="73"/>
      <c r="C4" s="73"/>
      <c r="D4" s="73"/>
      <c r="E4" s="79" t="s">
        <v>362</v>
      </c>
      <c r="F4" s="73">
        <f>(B10*B21+B18)*10^-3</f>
        <v>3.5300000000000002</v>
      </c>
      <c r="G4" s="73" t="s">
        <v>9</v>
      </c>
      <c r="H4" s="73"/>
      <c r="I4" s="73"/>
      <c r="J4" s="73"/>
      <c r="K4" s="73"/>
      <c r="L4" s="73"/>
      <c r="M4" s="73"/>
      <c r="N4" s="73"/>
      <c r="O4" s="73"/>
      <c r="P4" s="73"/>
      <c r="Q4" s="73"/>
      <c r="R4" s="73"/>
      <c r="S4" s="73"/>
      <c r="T4" s="73"/>
      <c r="U4" s="73"/>
      <c r="V4" s="73"/>
    </row>
    <row r="5" spans="1:22" x14ac:dyDescent="0.35">
      <c r="A5" s="73" t="s">
        <v>363</v>
      </c>
      <c r="B5" s="73">
        <v>2.6</v>
      </c>
      <c r="C5" s="73" t="s">
        <v>9</v>
      </c>
      <c r="D5" s="73"/>
      <c r="E5" s="73"/>
      <c r="F5" s="73"/>
      <c r="G5" s="73"/>
      <c r="H5" s="73"/>
      <c r="I5" s="73"/>
      <c r="J5" s="73"/>
      <c r="K5" s="73"/>
      <c r="L5" s="73"/>
      <c r="M5" s="73"/>
      <c r="N5" s="73"/>
      <c r="O5" s="73"/>
      <c r="P5" s="73"/>
      <c r="Q5" s="73"/>
      <c r="R5" s="73"/>
      <c r="S5" s="73"/>
      <c r="T5" s="73"/>
      <c r="U5" s="73"/>
      <c r="V5" s="73"/>
    </row>
    <row r="6" spans="1:22" x14ac:dyDescent="0.35">
      <c r="A6" s="73" t="s">
        <v>364</v>
      </c>
      <c r="B6" s="73">
        <v>3.5</v>
      </c>
      <c r="C6" s="73" t="s">
        <v>9</v>
      </c>
      <c r="D6" s="73"/>
      <c r="E6" s="73"/>
      <c r="F6" s="73"/>
      <c r="G6" s="73"/>
      <c r="H6" s="73"/>
      <c r="I6" s="73"/>
      <c r="J6" s="73"/>
      <c r="K6" s="73"/>
      <c r="L6" s="73"/>
      <c r="M6" s="73"/>
      <c r="N6" s="73"/>
      <c r="O6" s="73"/>
      <c r="P6" s="73"/>
      <c r="Q6" s="73"/>
      <c r="R6" s="73"/>
      <c r="S6" s="73"/>
      <c r="T6" s="73"/>
      <c r="U6" s="73"/>
      <c r="V6" s="73"/>
    </row>
    <row r="7" spans="1:22" x14ac:dyDescent="0.35">
      <c r="A7" s="73" t="s">
        <v>105</v>
      </c>
      <c r="B7" s="73">
        <v>25</v>
      </c>
      <c r="C7" s="73" t="s">
        <v>165</v>
      </c>
      <c r="D7" s="73"/>
      <c r="E7" s="73"/>
      <c r="F7" s="73"/>
      <c r="G7" s="73"/>
      <c r="H7" s="73"/>
      <c r="I7" s="73"/>
      <c r="J7" s="73"/>
      <c r="K7" s="73"/>
      <c r="L7" s="73"/>
      <c r="M7" s="73"/>
      <c r="N7" s="73"/>
      <c r="O7" s="73"/>
      <c r="P7" s="73"/>
      <c r="Q7" s="73"/>
      <c r="R7" s="73"/>
      <c r="S7" s="73"/>
      <c r="T7" s="73"/>
      <c r="U7" s="73"/>
      <c r="V7" s="73"/>
    </row>
    <row r="8" spans="1:22" x14ac:dyDescent="0.35">
      <c r="A8" s="73" t="s">
        <v>109</v>
      </c>
      <c r="B8" s="73">
        <v>500</v>
      </c>
      <c r="C8" s="73" t="s">
        <v>165</v>
      </c>
      <c r="D8" s="73"/>
      <c r="E8" s="73"/>
      <c r="F8" s="73"/>
      <c r="G8" s="73"/>
      <c r="H8" s="73"/>
      <c r="I8" s="73"/>
      <c r="J8" s="73"/>
      <c r="K8" s="73"/>
      <c r="L8" s="73"/>
      <c r="M8" s="73"/>
      <c r="N8" s="73"/>
      <c r="O8" s="73"/>
      <c r="P8" s="73"/>
      <c r="Q8" s="73"/>
      <c r="R8" s="73"/>
      <c r="S8" s="73"/>
      <c r="T8" s="73"/>
      <c r="U8" s="73"/>
      <c r="V8" s="73"/>
    </row>
    <row r="9" spans="1:22" x14ac:dyDescent="0.35">
      <c r="A9" s="73" t="s">
        <v>365</v>
      </c>
      <c r="B9" s="73">
        <v>150</v>
      </c>
      <c r="C9" s="73" t="s">
        <v>8</v>
      </c>
      <c r="D9" s="73"/>
      <c r="E9" s="73" t="s">
        <v>366</v>
      </c>
      <c r="F9" s="73"/>
      <c r="G9" s="73"/>
      <c r="H9" s="73"/>
      <c r="I9" s="73"/>
      <c r="J9" s="73"/>
      <c r="K9" s="73"/>
      <c r="L9" s="73"/>
      <c r="M9" s="73"/>
      <c r="N9" s="73"/>
      <c r="O9" s="73"/>
      <c r="P9" s="73"/>
      <c r="Q9" s="73"/>
      <c r="R9" s="73"/>
      <c r="S9" s="73"/>
      <c r="T9" s="73"/>
      <c r="U9" s="73"/>
      <c r="V9" s="73"/>
    </row>
    <row r="10" spans="1:22" x14ac:dyDescent="0.35">
      <c r="A10" s="73" t="s">
        <v>367</v>
      </c>
      <c r="B10" s="73">
        <v>300</v>
      </c>
      <c r="C10" s="73" t="s">
        <v>8</v>
      </c>
      <c r="D10" s="73"/>
      <c r="E10" s="73" t="s">
        <v>368</v>
      </c>
      <c r="F10" s="73">
        <f>B33</f>
        <v>12.553284322265133</v>
      </c>
      <c r="G10" s="73" t="s">
        <v>369</v>
      </c>
      <c r="H10" s="73"/>
      <c r="I10" s="73"/>
      <c r="J10" s="73"/>
      <c r="K10" s="73"/>
      <c r="L10" s="73"/>
      <c r="M10" s="73"/>
      <c r="N10" s="73"/>
      <c r="O10" s="73"/>
      <c r="P10" s="73"/>
      <c r="Q10" s="73"/>
      <c r="R10" s="73"/>
      <c r="S10" s="73"/>
      <c r="T10" s="73"/>
      <c r="U10" s="73"/>
      <c r="V10" s="73"/>
    </row>
    <row r="11" spans="1:22" x14ac:dyDescent="0.35">
      <c r="A11" s="73" t="s">
        <v>370</v>
      </c>
      <c r="B11" s="73">
        <v>1200</v>
      </c>
      <c r="C11" s="73" t="s">
        <v>8</v>
      </c>
      <c r="D11" s="73"/>
      <c r="E11" s="73" t="s">
        <v>371</v>
      </c>
      <c r="F11" s="73">
        <f>F10*F4*F4/12</f>
        <v>13.035435050942802</v>
      </c>
      <c r="G11" s="73" t="s">
        <v>372</v>
      </c>
      <c r="H11" s="73"/>
      <c r="I11" s="73"/>
      <c r="J11" s="73"/>
      <c r="K11" s="73"/>
      <c r="L11" s="73"/>
      <c r="M11" s="73"/>
      <c r="N11" s="73"/>
      <c r="O11" s="73"/>
      <c r="P11" s="73"/>
      <c r="Q11" s="73"/>
      <c r="R11" s="73"/>
      <c r="S11" s="73"/>
      <c r="T11" s="73"/>
      <c r="U11" s="73"/>
      <c r="V11" s="73"/>
    </row>
    <row r="12" spans="1:22" x14ac:dyDescent="0.35">
      <c r="A12" s="73" t="s">
        <v>373</v>
      </c>
      <c r="B12" s="73">
        <v>12</v>
      </c>
      <c r="C12" s="73" t="s">
        <v>8</v>
      </c>
      <c r="D12" s="73"/>
      <c r="E12" s="73"/>
      <c r="F12" s="73"/>
      <c r="G12" s="73"/>
      <c r="H12" s="73"/>
      <c r="I12" s="73"/>
      <c r="J12" s="73"/>
      <c r="K12" s="73"/>
      <c r="L12" s="73"/>
      <c r="M12" s="73"/>
      <c r="N12" s="73"/>
      <c r="O12" s="73"/>
      <c r="P12" s="73"/>
      <c r="Q12" s="73"/>
      <c r="R12" s="73"/>
      <c r="S12" s="73"/>
      <c r="T12" s="73"/>
      <c r="U12" s="73"/>
      <c r="V12" s="73"/>
    </row>
    <row r="13" spans="1:22" x14ac:dyDescent="0.35">
      <c r="A13" s="73" t="s">
        <v>113</v>
      </c>
      <c r="B13" s="73">
        <v>20</v>
      </c>
      <c r="C13" s="73" t="s">
        <v>8</v>
      </c>
      <c r="D13" s="73"/>
      <c r="E13" s="73"/>
      <c r="F13" s="73"/>
      <c r="G13" s="73"/>
      <c r="H13" s="73"/>
      <c r="I13" s="73"/>
      <c r="J13" s="73"/>
      <c r="K13" s="73"/>
      <c r="L13" s="73"/>
      <c r="M13" s="73"/>
      <c r="N13" s="73"/>
      <c r="O13" s="73"/>
      <c r="P13" s="73"/>
      <c r="Q13" s="73"/>
      <c r="R13" s="73"/>
      <c r="S13" s="73"/>
      <c r="T13" s="73"/>
      <c r="U13" s="73"/>
      <c r="V13" s="73"/>
    </row>
    <row r="14" spans="1:22" x14ac:dyDescent="0.35">
      <c r="A14" s="73" t="s">
        <v>374</v>
      </c>
      <c r="B14" s="73">
        <v>1</v>
      </c>
      <c r="C14" s="73" t="s">
        <v>375</v>
      </c>
      <c r="D14" s="73"/>
      <c r="E14" s="73"/>
      <c r="F14" s="73"/>
      <c r="G14" s="73"/>
      <c r="H14" s="73"/>
      <c r="I14" s="73"/>
      <c r="J14" s="73"/>
      <c r="K14" s="73"/>
      <c r="L14" s="73"/>
      <c r="M14" s="73"/>
      <c r="N14" s="73"/>
      <c r="O14" s="73"/>
      <c r="P14" s="73"/>
      <c r="Q14" s="73"/>
      <c r="R14" s="73"/>
      <c r="S14" s="73"/>
      <c r="T14" s="73"/>
      <c r="U14" s="73"/>
      <c r="V14" s="73"/>
    </row>
    <row r="15" spans="1:22" x14ac:dyDescent="0.35">
      <c r="A15" s="73" t="s">
        <v>376</v>
      </c>
      <c r="B15" s="73">
        <v>4</v>
      </c>
      <c r="C15" s="73" t="s">
        <v>375</v>
      </c>
      <c r="D15" s="73"/>
      <c r="E15" s="73"/>
      <c r="F15" s="73"/>
      <c r="G15" s="73"/>
      <c r="H15" s="73"/>
      <c r="I15" s="73"/>
      <c r="J15" s="73"/>
      <c r="K15" s="73"/>
      <c r="L15" s="73"/>
      <c r="M15" s="73"/>
      <c r="N15" s="73"/>
      <c r="O15" s="73"/>
      <c r="P15" s="73"/>
      <c r="Q15" s="73"/>
      <c r="R15" s="73"/>
      <c r="S15" s="73"/>
      <c r="T15" s="73"/>
      <c r="U15" s="73"/>
      <c r="V15" s="73"/>
    </row>
    <row r="16" spans="1:22" x14ac:dyDescent="0.35">
      <c r="A16" s="73"/>
      <c r="B16" s="73"/>
      <c r="C16" s="73"/>
      <c r="D16" s="73"/>
      <c r="E16" s="138" t="s">
        <v>377</v>
      </c>
      <c r="F16" s="73"/>
      <c r="G16" s="73"/>
      <c r="H16" s="73"/>
      <c r="I16" s="73"/>
      <c r="J16" s="138" t="s">
        <v>378</v>
      </c>
      <c r="K16" s="73"/>
      <c r="L16" s="73"/>
      <c r="M16" s="73"/>
      <c r="N16" s="73"/>
      <c r="O16" s="73"/>
      <c r="P16" s="73"/>
      <c r="Q16" s="73"/>
      <c r="R16" s="73"/>
      <c r="S16" s="73"/>
      <c r="T16" s="73"/>
      <c r="U16" s="73"/>
      <c r="V16" s="73"/>
    </row>
    <row r="17" spans="1:22" x14ac:dyDescent="0.35">
      <c r="A17" s="73" t="s">
        <v>379</v>
      </c>
      <c r="B17" s="73">
        <v>25</v>
      </c>
      <c r="C17" s="73"/>
      <c r="D17" s="73"/>
      <c r="E17" s="73" t="s">
        <v>269</v>
      </c>
      <c r="F17" s="73">
        <f>F11*10^6/(1000*B25^2)</f>
        <v>1.3300107183902461</v>
      </c>
      <c r="G17" s="73" t="s">
        <v>165</v>
      </c>
      <c r="H17" s="73"/>
      <c r="I17" s="73"/>
      <c r="J17" s="73" t="s">
        <v>380</v>
      </c>
      <c r="K17" s="73">
        <f>0.12/100*1000*B25</f>
        <v>118.8</v>
      </c>
      <c r="L17" s="73" t="s">
        <v>183</v>
      </c>
      <c r="M17" s="73"/>
      <c r="N17" s="73"/>
      <c r="O17" s="73"/>
      <c r="P17" s="73"/>
      <c r="Q17" s="73"/>
      <c r="R17" s="73"/>
      <c r="S17" s="73"/>
      <c r="T17" s="73"/>
      <c r="U17" s="73"/>
      <c r="V17" s="73"/>
    </row>
    <row r="18" spans="1:22" x14ac:dyDescent="0.35">
      <c r="A18" s="73" t="s">
        <v>381</v>
      </c>
      <c r="B18" s="73">
        <v>230</v>
      </c>
      <c r="C18" s="73" t="s">
        <v>8</v>
      </c>
      <c r="D18" s="73"/>
      <c r="E18" s="73" t="s">
        <v>382</v>
      </c>
      <c r="F18" s="73">
        <f>(B7/(2*B8))*(1000*B25)*(1-SQRT(1-(4.598*F17)/(B7)))</f>
        <v>323.90684978680554</v>
      </c>
      <c r="G18" s="73" t="s">
        <v>183</v>
      </c>
      <c r="H18" s="73"/>
      <c r="I18" s="73"/>
      <c r="J18" s="73" t="s">
        <v>383</v>
      </c>
      <c r="K18" s="73">
        <v>8</v>
      </c>
      <c r="L18" s="73" t="s">
        <v>8</v>
      </c>
      <c r="M18" s="73"/>
      <c r="N18" s="73"/>
      <c r="O18" s="73"/>
      <c r="P18" s="73"/>
      <c r="Q18" s="73"/>
      <c r="R18" s="73"/>
      <c r="S18" s="73"/>
      <c r="T18" s="73"/>
      <c r="U18" s="73"/>
      <c r="V18" s="73"/>
    </row>
    <row r="19" spans="1:22" x14ac:dyDescent="0.35">
      <c r="A19" s="73" t="s">
        <v>384</v>
      </c>
      <c r="B19" s="73">
        <f>B6/2</f>
        <v>1.75</v>
      </c>
      <c r="C19" s="73" t="s">
        <v>9</v>
      </c>
      <c r="D19" s="73"/>
      <c r="E19" s="73" t="s">
        <v>385</v>
      </c>
      <c r="F19" s="73">
        <f>3.14*0.25*B12*B12</f>
        <v>113.03999999999999</v>
      </c>
      <c r="G19" s="73" t="s">
        <v>183</v>
      </c>
      <c r="H19" s="73"/>
      <c r="I19" s="73"/>
      <c r="J19" s="73" t="s">
        <v>53</v>
      </c>
      <c r="K19" s="73">
        <f>0.25*3.14*K18*K18</f>
        <v>50.24</v>
      </c>
      <c r="L19" s="73" t="s">
        <v>183</v>
      </c>
      <c r="M19" s="73"/>
      <c r="N19" s="73"/>
      <c r="O19" s="73"/>
      <c r="P19" s="73"/>
      <c r="Q19" s="73"/>
      <c r="R19" s="73"/>
      <c r="S19" s="73"/>
      <c r="T19" s="73"/>
      <c r="U19" s="73"/>
      <c r="V19" s="73"/>
    </row>
    <row r="20" spans="1:22" x14ac:dyDescent="0.35">
      <c r="A20" s="73" t="s">
        <v>386</v>
      </c>
      <c r="B20" s="73">
        <f>ROUNDUP(B19*1000/B9,-0.5)</f>
        <v>12</v>
      </c>
      <c r="C20" s="73"/>
      <c r="D20" s="73"/>
      <c r="E20" s="73" t="s">
        <v>387</v>
      </c>
      <c r="F20" s="73">
        <f>F19/F18*1000</f>
        <v>348.98922352028848</v>
      </c>
      <c r="G20" s="73"/>
      <c r="H20" s="73"/>
      <c r="I20" s="73"/>
      <c r="J20" s="73" t="s">
        <v>22</v>
      </c>
      <c r="K20" s="73">
        <f>K19/K17*1000</f>
        <v>422.89562289562292</v>
      </c>
      <c r="L20" s="73" t="s">
        <v>8</v>
      </c>
      <c r="M20" s="73"/>
      <c r="N20" s="73"/>
      <c r="O20" s="73"/>
      <c r="P20" s="73"/>
      <c r="Q20" s="73"/>
      <c r="R20" s="73"/>
      <c r="S20" s="73"/>
      <c r="T20" s="73"/>
      <c r="U20" s="73"/>
      <c r="V20" s="73"/>
    </row>
    <row r="21" spans="1:22" x14ac:dyDescent="0.35">
      <c r="A21" s="73" t="s">
        <v>388</v>
      </c>
      <c r="B21" s="73">
        <f>B20-1</f>
        <v>11</v>
      </c>
      <c r="C21" s="73"/>
      <c r="D21" s="73"/>
      <c r="E21" s="139" t="s">
        <v>389</v>
      </c>
      <c r="F21" s="139">
        <f>B12</f>
        <v>12</v>
      </c>
      <c r="G21" s="140" t="s">
        <v>390</v>
      </c>
      <c r="H21" s="139">
        <f>ROUNDDOWN(F20,-2)</f>
        <v>300</v>
      </c>
      <c r="I21" s="139" t="s">
        <v>391</v>
      </c>
      <c r="J21" s="73" t="s">
        <v>290</v>
      </c>
      <c r="K21" s="139">
        <f>5*B25</f>
        <v>495</v>
      </c>
      <c r="P21" s="73"/>
      <c r="Q21" s="73"/>
      <c r="R21" s="73"/>
      <c r="S21" s="73"/>
      <c r="T21" s="73"/>
      <c r="U21" s="73"/>
      <c r="V21" s="73"/>
    </row>
    <row r="22" spans="1:22" x14ac:dyDescent="0.35">
      <c r="A22" s="73" t="s">
        <v>128</v>
      </c>
      <c r="B22" s="73"/>
      <c r="C22" s="73"/>
      <c r="D22" s="73"/>
      <c r="E22" s="73"/>
      <c r="F22" s="73"/>
      <c r="G22" s="73"/>
      <c r="H22" s="73"/>
      <c r="I22" s="73"/>
      <c r="J22" s="73"/>
      <c r="K22" s="139" t="s">
        <v>389</v>
      </c>
      <c r="L22" s="139">
        <f>K18</f>
        <v>8</v>
      </c>
      <c r="M22" s="140" t="s">
        <v>392</v>
      </c>
      <c r="N22" s="139">
        <f>MIN(K21,K20,200)</f>
        <v>200</v>
      </c>
      <c r="O22" s="139" t="s">
        <v>391</v>
      </c>
      <c r="P22" s="73"/>
      <c r="Q22" s="73"/>
      <c r="R22" s="73"/>
      <c r="S22" s="73"/>
      <c r="T22" s="73"/>
      <c r="U22" s="73"/>
      <c r="V22" s="73"/>
    </row>
    <row r="23" spans="1:22" x14ac:dyDescent="0.35">
      <c r="A23" s="138" t="s">
        <v>393</v>
      </c>
      <c r="B23" s="73"/>
      <c r="C23" s="73"/>
      <c r="D23" s="73"/>
      <c r="E23" s="73" t="s">
        <v>117</v>
      </c>
      <c r="F23" s="73"/>
      <c r="G23" s="73"/>
      <c r="H23" s="73"/>
      <c r="I23" s="73"/>
      <c r="J23" s="73"/>
      <c r="K23" s="73"/>
      <c r="L23" s="73"/>
      <c r="M23" s="73"/>
      <c r="N23" s="73"/>
      <c r="O23" s="73"/>
      <c r="P23" s="73"/>
      <c r="Q23" s="73"/>
      <c r="R23" s="73"/>
      <c r="S23" s="73"/>
      <c r="T23" s="73"/>
      <c r="U23" s="73"/>
      <c r="V23" s="73"/>
    </row>
    <row r="24" spans="1:22" x14ac:dyDescent="0.35">
      <c r="A24" s="73" t="s">
        <v>394</v>
      </c>
      <c r="B24" s="73">
        <v>125</v>
      </c>
      <c r="C24" s="73" t="s">
        <v>8</v>
      </c>
      <c r="D24" s="73"/>
      <c r="E24" s="73" t="s">
        <v>395</v>
      </c>
      <c r="F24" s="73">
        <f>H21</f>
        <v>300</v>
      </c>
      <c r="G24" s="73"/>
      <c r="H24" s="73"/>
      <c r="I24" s="73"/>
      <c r="J24" s="138" t="s">
        <v>396</v>
      </c>
      <c r="K24" s="73"/>
      <c r="L24" s="73"/>
      <c r="M24" s="73"/>
      <c r="N24" s="73"/>
      <c r="O24" s="73"/>
      <c r="P24" s="73"/>
      <c r="Q24" s="73"/>
      <c r="R24" s="73"/>
      <c r="S24" s="73"/>
      <c r="T24" s="73"/>
      <c r="U24" s="73"/>
      <c r="V24" s="73"/>
    </row>
    <row r="25" spans="1:22" x14ac:dyDescent="0.35">
      <c r="A25" s="73" t="s">
        <v>397</v>
      </c>
      <c r="B25" s="73">
        <f>B24-B13-B12/2</f>
        <v>99</v>
      </c>
      <c r="C25" s="73" t="s">
        <v>8</v>
      </c>
      <c r="D25" s="73"/>
      <c r="E25" s="73" t="s">
        <v>294</v>
      </c>
      <c r="F25" s="73">
        <f>F19/H21*1000</f>
        <v>376.79999999999995</v>
      </c>
      <c r="G25" s="73" t="s">
        <v>183</v>
      </c>
      <c r="H25" s="73"/>
      <c r="I25" s="73"/>
      <c r="J25" s="73" t="s">
        <v>69</v>
      </c>
      <c r="K25" s="73">
        <f>B12*0.87*B8/(4*1.5*1.6)</f>
        <v>543.74999999999989</v>
      </c>
      <c r="L25" s="73" t="s">
        <v>8</v>
      </c>
      <c r="M25" s="73"/>
      <c r="N25" s="73"/>
      <c r="O25" s="73"/>
    </row>
    <row r="26" spans="1:22" x14ac:dyDescent="0.35">
      <c r="A26" s="73"/>
      <c r="B26" s="73"/>
      <c r="C26" s="73"/>
      <c r="D26" s="73"/>
      <c r="E26" s="73"/>
      <c r="F26" s="73"/>
      <c r="G26" s="73"/>
      <c r="H26" s="73"/>
      <c r="I26" s="73"/>
      <c r="J26" s="73" t="s">
        <v>398</v>
      </c>
      <c r="K26" s="73">
        <f>ROUNDUP(K25,-2)</f>
        <v>600</v>
      </c>
      <c r="L26" s="73" t="s">
        <v>8</v>
      </c>
      <c r="M26" s="73"/>
      <c r="N26" s="73"/>
      <c r="O26" s="73"/>
    </row>
    <row r="27" spans="1:22" x14ac:dyDescent="0.35">
      <c r="A27" s="138" t="s">
        <v>399</v>
      </c>
      <c r="B27" s="73"/>
      <c r="C27" s="73"/>
      <c r="D27" s="73"/>
      <c r="E27" s="73" t="s">
        <v>400</v>
      </c>
      <c r="F27" s="73">
        <f>0.58*F18/F25*B8</f>
        <v>249.29136528177708</v>
      </c>
      <c r="G27" s="73"/>
      <c r="H27" s="73"/>
      <c r="I27" s="73"/>
      <c r="J27" s="73"/>
      <c r="K27" s="73"/>
      <c r="L27" s="73"/>
      <c r="M27" s="73"/>
      <c r="N27" s="73"/>
      <c r="O27" s="73"/>
    </row>
    <row r="28" spans="1:22" ht="16.5" x14ac:dyDescent="0.35">
      <c r="A28" s="73" t="s">
        <v>401</v>
      </c>
      <c r="B28" s="73">
        <f>B24/1000*B17*(SQRT(B9^2+B10^2))/B10</f>
        <v>3.4938562148434213</v>
      </c>
      <c r="C28" s="73" t="s">
        <v>369</v>
      </c>
      <c r="D28" s="73"/>
      <c r="E28" s="73" t="s">
        <v>402</v>
      </c>
      <c r="F28" s="73">
        <f>F25/(1000*B25)*100</f>
        <v>0.38060606060606056</v>
      </c>
      <c r="G28" s="73" t="s">
        <v>169</v>
      </c>
      <c r="H28" s="73"/>
      <c r="I28" s="73"/>
      <c r="J28" s="216" t="s">
        <v>287</v>
      </c>
      <c r="K28" s="217"/>
      <c r="L28" s="218"/>
      <c r="M28" s="73"/>
      <c r="N28" s="73"/>
      <c r="O28" s="73"/>
    </row>
    <row r="29" spans="1:22" ht="15.5" x14ac:dyDescent="0.35">
      <c r="A29" s="73" t="s">
        <v>403</v>
      </c>
      <c r="B29" s="73">
        <f>B17*B9/2000</f>
        <v>1.875</v>
      </c>
      <c r="C29" s="73" t="s">
        <v>369</v>
      </c>
      <c r="D29" s="73"/>
      <c r="E29" s="73" t="s">
        <v>404</v>
      </c>
      <c r="F29" s="73"/>
      <c r="G29" s="73"/>
      <c r="H29" s="73"/>
      <c r="I29" s="73"/>
      <c r="J29" s="141" t="s">
        <v>144</v>
      </c>
      <c r="K29" s="141">
        <f>F4</f>
        <v>3.5300000000000002</v>
      </c>
      <c r="L29" s="141" t="s">
        <v>9</v>
      </c>
      <c r="M29" s="73"/>
      <c r="N29" s="73"/>
      <c r="O29" s="73"/>
    </row>
    <row r="30" spans="1:22" ht="15.5" x14ac:dyDescent="0.35">
      <c r="A30" s="73" t="s">
        <v>405</v>
      </c>
      <c r="B30" s="73">
        <v>2</v>
      </c>
      <c r="C30" s="73" t="s">
        <v>369</v>
      </c>
      <c r="D30" s="73"/>
      <c r="E30" s="73" t="s">
        <v>406</v>
      </c>
      <c r="F30" s="73">
        <v>1</v>
      </c>
      <c r="G30" s="73"/>
      <c r="H30" s="73"/>
      <c r="I30" s="73"/>
      <c r="J30" s="141" t="s">
        <v>363</v>
      </c>
      <c r="K30" s="141">
        <f>B5</f>
        <v>2.6</v>
      </c>
      <c r="L30" s="141" t="s">
        <v>9</v>
      </c>
      <c r="M30" s="73"/>
      <c r="N30" s="73"/>
      <c r="O30" s="73"/>
    </row>
    <row r="31" spans="1:22" ht="15.5" x14ac:dyDescent="0.35">
      <c r="A31" s="73" t="s">
        <v>407</v>
      </c>
      <c r="B31" s="73">
        <f>B14</f>
        <v>1</v>
      </c>
      <c r="C31" s="73" t="s">
        <v>369</v>
      </c>
      <c r="D31" s="73"/>
      <c r="E31" s="73" t="s">
        <v>408</v>
      </c>
      <c r="F31" s="73">
        <v>1.25</v>
      </c>
      <c r="G31" s="73"/>
      <c r="H31" s="73"/>
      <c r="I31" s="73"/>
      <c r="J31" s="141" t="s">
        <v>364</v>
      </c>
      <c r="K31" s="141">
        <f>B6</f>
        <v>3.5</v>
      </c>
      <c r="L31" s="141" t="s">
        <v>9</v>
      </c>
      <c r="M31" s="73"/>
      <c r="N31" s="73"/>
      <c r="O31" s="73"/>
    </row>
    <row r="32" spans="1:22" ht="15.5" x14ac:dyDescent="0.35">
      <c r="A32" s="73" t="s">
        <v>409</v>
      </c>
      <c r="B32" s="73">
        <f>SUM(B28:B31)</f>
        <v>8.3688562148434222</v>
      </c>
      <c r="C32" s="73" t="s">
        <v>369</v>
      </c>
      <c r="D32" s="73"/>
      <c r="E32" s="73" t="s">
        <v>253</v>
      </c>
      <c r="F32" s="73">
        <v>20</v>
      </c>
      <c r="G32" s="73"/>
      <c r="H32" s="73"/>
      <c r="I32" s="73"/>
      <c r="J32" s="141" t="s">
        <v>293</v>
      </c>
      <c r="K32" s="141">
        <f>F25</f>
        <v>376.79999999999995</v>
      </c>
      <c r="L32" s="141" t="s">
        <v>183</v>
      </c>
      <c r="M32" s="73"/>
      <c r="N32" s="73"/>
      <c r="O32" s="73"/>
    </row>
    <row r="33" spans="1:22" ht="15.5" x14ac:dyDescent="0.35">
      <c r="A33" s="73" t="s">
        <v>410</v>
      </c>
      <c r="B33" s="73">
        <f>B32*1.5</f>
        <v>12.553284322265133</v>
      </c>
      <c r="C33" s="73" t="s">
        <v>369</v>
      </c>
      <c r="D33" s="73"/>
      <c r="E33" s="73" t="s">
        <v>411</v>
      </c>
      <c r="F33" s="73">
        <f>F32*1.6*F31*F30</f>
        <v>40</v>
      </c>
      <c r="G33" s="73"/>
      <c r="H33" s="73"/>
      <c r="I33" s="73"/>
      <c r="J33" s="141" t="s">
        <v>296</v>
      </c>
      <c r="K33" s="141">
        <f>H21</f>
        <v>300</v>
      </c>
      <c r="L33" s="141" t="s">
        <v>8</v>
      </c>
      <c r="M33" s="73"/>
      <c r="N33" s="73"/>
      <c r="O33" s="73"/>
    </row>
    <row r="34" spans="1:22" ht="15.5" x14ac:dyDescent="0.35">
      <c r="A34" s="73"/>
      <c r="B34" s="73"/>
      <c r="C34" s="73"/>
      <c r="D34" s="73"/>
      <c r="E34" s="75" t="str">
        <f>IF(F33&lt;F4*1000/B25,"not Okay","Okay")</f>
        <v>Okay</v>
      </c>
      <c r="F34" s="73"/>
      <c r="G34" s="73"/>
      <c r="H34" s="73"/>
      <c r="I34" s="73"/>
      <c r="J34" s="141" t="s">
        <v>297</v>
      </c>
      <c r="K34" s="141">
        <f>K17</f>
        <v>118.8</v>
      </c>
      <c r="L34" s="141" t="s">
        <v>183</v>
      </c>
      <c r="M34" s="73"/>
      <c r="N34" s="73"/>
      <c r="O34" s="73"/>
      <c r="P34" s="73"/>
      <c r="Q34" s="73"/>
      <c r="R34" s="73"/>
      <c r="S34" s="73"/>
      <c r="T34" s="73"/>
      <c r="U34" s="73"/>
      <c r="V34" s="73"/>
    </row>
    <row r="35" spans="1:22" ht="15.5" x14ac:dyDescent="0.35">
      <c r="A35" s="73"/>
      <c r="B35" s="73"/>
      <c r="C35" s="73"/>
      <c r="D35" s="73"/>
      <c r="E35" s="73"/>
      <c r="F35" s="73"/>
      <c r="G35" s="73"/>
      <c r="H35" s="73"/>
      <c r="I35" s="73"/>
      <c r="J35" s="141" t="s">
        <v>296</v>
      </c>
      <c r="K35" s="141">
        <f>N22</f>
        <v>200</v>
      </c>
      <c r="L35" s="141" t="s">
        <v>8</v>
      </c>
      <c r="M35" s="73"/>
      <c r="N35" s="73"/>
      <c r="O35" s="73"/>
      <c r="P35" s="73"/>
      <c r="Q35" s="73"/>
      <c r="R35" s="73"/>
      <c r="S35" s="73"/>
      <c r="T35" s="73"/>
      <c r="U35" s="73"/>
      <c r="V35" s="73"/>
    </row>
    <row r="36" spans="1:22" x14ac:dyDescent="0.35">
      <c r="A36" s="73"/>
      <c r="B36" s="73"/>
      <c r="C36" s="73"/>
      <c r="D36" s="73"/>
      <c r="E36" s="73"/>
      <c r="F36" s="73"/>
      <c r="G36" s="73"/>
      <c r="H36" s="73"/>
      <c r="I36" s="73"/>
      <c r="J36" s="73"/>
      <c r="K36" s="73"/>
      <c r="L36" s="73"/>
      <c r="M36" s="73"/>
      <c r="N36" s="73"/>
      <c r="O36" s="73"/>
      <c r="P36" s="73"/>
      <c r="Q36" s="73"/>
      <c r="R36" s="73"/>
      <c r="S36" s="73"/>
      <c r="T36" s="73"/>
      <c r="U36" s="73"/>
      <c r="V36" s="73"/>
    </row>
    <row r="37" spans="1:22" x14ac:dyDescent="0.35">
      <c r="A37" s="73"/>
      <c r="B37" s="73"/>
      <c r="C37" s="73"/>
      <c r="D37" s="73"/>
      <c r="E37" s="73"/>
      <c r="F37" s="73"/>
      <c r="G37" s="73"/>
      <c r="H37" s="73"/>
      <c r="I37" s="73"/>
      <c r="J37" s="73"/>
      <c r="K37" s="73"/>
      <c r="L37" s="73"/>
      <c r="M37" s="73"/>
      <c r="N37" s="73"/>
      <c r="O37" s="73"/>
      <c r="P37" s="73"/>
      <c r="Q37" s="73"/>
      <c r="R37" s="73"/>
      <c r="S37" s="73"/>
      <c r="T37" s="73"/>
      <c r="U37" s="73"/>
      <c r="V37" s="73"/>
    </row>
    <row r="38" spans="1:22" x14ac:dyDescent="0.35">
      <c r="A38" s="73"/>
      <c r="B38" s="73"/>
      <c r="C38" s="73"/>
      <c r="D38" s="73"/>
      <c r="E38" s="73"/>
      <c r="F38" s="73"/>
      <c r="G38" s="73"/>
      <c r="H38" s="73"/>
      <c r="I38" s="73"/>
      <c r="J38" s="73"/>
      <c r="K38" s="73"/>
      <c r="L38" s="73"/>
      <c r="M38" s="73"/>
      <c r="N38" s="73"/>
      <c r="O38" s="73"/>
      <c r="P38" s="73"/>
      <c r="Q38" s="73"/>
      <c r="R38" s="73"/>
      <c r="S38" s="73"/>
      <c r="T38" s="73"/>
      <c r="U38" s="73"/>
      <c r="V38" s="73"/>
    </row>
  </sheetData>
  <mergeCells count="2">
    <mergeCell ref="A1:O1"/>
    <mergeCell ref="J28:L28"/>
  </mergeCells>
  <hyperlinks>
    <hyperlink ref="M22" r:id="rId1" xr:uid="{04D7E64E-4773-4171-B4A0-8A8FAE3AF53F}"/>
    <hyperlink ref="G21" r:id="rId2" display="mm@" xr:uid="{D4D681D7-0A2D-4D2A-A6FA-DE7CED33CE0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D705B-91FA-483D-AA0A-A1B6F3B13371}">
  <dimension ref="A1:AC78"/>
  <sheetViews>
    <sheetView zoomScale="62" workbookViewId="0">
      <selection activeCell="C10" sqref="C10"/>
    </sheetView>
  </sheetViews>
  <sheetFormatPr defaultColWidth="9.08984375" defaultRowHeight="14" x14ac:dyDescent="0.3"/>
  <cols>
    <col min="1" max="1" width="39.36328125" style="56" bestFit="1" customWidth="1"/>
    <col min="2" max="2" width="12" style="56" bestFit="1" customWidth="1"/>
    <col min="3" max="3" width="28.36328125" style="56" bestFit="1" customWidth="1"/>
    <col min="4" max="4" width="14.36328125" style="56" bestFit="1" customWidth="1"/>
    <col min="5" max="7" width="9.08984375" style="56"/>
    <col min="8" max="8" width="33.6328125" style="56" bestFit="1" customWidth="1"/>
    <col min="9" max="9" width="10" style="56" bestFit="1" customWidth="1"/>
    <col min="10" max="10" width="10.08984375" style="56" bestFit="1" customWidth="1"/>
    <col min="11" max="16384" width="9.08984375" style="56"/>
  </cols>
  <sheetData>
    <row r="1" spans="1:29" ht="17.5" x14ac:dyDescent="0.35">
      <c r="A1" s="223" t="s">
        <v>412</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223"/>
      <c r="AC1" s="223"/>
    </row>
    <row r="3" spans="1:29" x14ac:dyDescent="0.3">
      <c r="A3" s="222" t="s">
        <v>413</v>
      </c>
      <c r="B3" s="222"/>
      <c r="C3" s="222"/>
      <c r="D3" s="222"/>
      <c r="H3" s="222" t="s">
        <v>414</v>
      </c>
      <c r="I3" s="222"/>
      <c r="J3" s="222"/>
      <c r="K3" s="222"/>
      <c r="L3" s="222"/>
      <c r="M3" s="222"/>
      <c r="N3" s="222"/>
    </row>
    <row r="4" spans="1:29" x14ac:dyDescent="0.3">
      <c r="R4" s="56">
        <f>16*(1.25-0.525)</f>
        <v>11.6</v>
      </c>
    </row>
    <row r="5" spans="1:29" x14ac:dyDescent="0.3">
      <c r="A5" s="56" t="s">
        <v>415</v>
      </c>
      <c r="C5" s="56">
        <v>5.25</v>
      </c>
      <c r="D5" s="56" t="s">
        <v>9</v>
      </c>
      <c r="H5" s="56" t="s">
        <v>149</v>
      </c>
      <c r="I5" s="56">
        <f>C17*B33</f>
        <v>10.5</v>
      </c>
      <c r="J5" s="56" t="s">
        <v>416</v>
      </c>
    </row>
    <row r="6" spans="1:29" ht="14.5" x14ac:dyDescent="0.35">
      <c r="A6" s="56" t="s">
        <v>417</v>
      </c>
      <c r="B6" s="29" t="s">
        <v>418</v>
      </c>
      <c r="C6" s="56">
        <v>30</v>
      </c>
      <c r="D6" s="56">
        <f>RADIANS(C6)</f>
        <v>0.52359877559829882</v>
      </c>
      <c r="H6" s="56" t="s">
        <v>140</v>
      </c>
      <c r="I6" s="56">
        <f>B35*1000-C12-C27/2</f>
        <v>374</v>
      </c>
      <c r="J6" s="56" t="s">
        <v>8</v>
      </c>
    </row>
    <row r="7" spans="1:29" x14ac:dyDescent="0.3">
      <c r="A7" s="56" t="s">
        <v>419</v>
      </c>
      <c r="C7" s="56">
        <v>20</v>
      </c>
      <c r="H7" s="56" t="s">
        <v>420</v>
      </c>
      <c r="I7" s="56">
        <f>(B67-((B67-B68)/D37)*B39)-I5</f>
        <v>82.107417185624996</v>
      </c>
      <c r="J7" s="56" t="s">
        <v>416</v>
      </c>
    </row>
    <row r="8" spans="1:29" x14ac:dyDescent="0.3">
      <c r="A8" s="56" t="s">
        <v>421</v>
      </c>
      <c r="B8" s="56" t="s">
        <v>422</v>
      </c>
      <c r="C8" s="56">
        <v>15</v>
      </c>
      <c r="D8" s="56">
        <f>RADIANS(C8)</f>
        <v>0.26179938779914941</v>
      </c>
      <c r="H8" s="56" t="s">
        <v>423</v>
      </c>
      <c r="I8" s="56">
        <f>B67-I5</f>
        <v>112.06668429510948</v>
      </c>
      <c r="J8" s="56" t="s">
        <v>416</v>
      </c>
    </row>
    <row r="9" spans="1:29" x14ac:dyDescent="0.3">
      <c r="A9" s="56" t="s">
        <v>424</v>
      </c>
      <c r="C9" s="56">
        <v>0</v>
      </c>
      <c r="H9" s="56" t="s">
        <v>59</v>
      </c>
      <c r="I9" s="56">
        <f>1.5*0.5*(I8+I7)*(B39-(I6/1000))</f>
        <v>91.164740645204844</v>
      </c>
      <c r="J9" s="56" t="s">
        <v>121</v>
      </c>
    </row>
    <row r="10" spans="1:29" x14ac:dyDescent="0.3">
      <c r="H10" s="56" t="s">
        <v>39</v>
      </c>
      <c r="I10" s="56">
        <f>1.5*(I7*(B39^2)*0.5+(I8-I7)*0.5*B39^2*2/3)</f>
        <v>76.56019644396099</v>
      </c>
      <c r="J10" s="56" t="s">
        <v>425</v>
      </c>
    </row>
    <row r="11" spans="1:29" x14ac:dyDescent="0.3">
      <c r="A11" s="56" t="s">
        <v>426</v>
      </c>
      <c r="H11" s="56" t="s">
        <v>71</v>
      </c>
      <c r="I11" s="56">
        <f>(0.5*C18/C19)*(1-SQRT(1-4.598*((I10*10^6)/(1000*I6*I6))/C18))*1000*I6</f>
        <v>437.20646508447152</v>
      </c>
      <c r="J11" s="56" t="s">
        <v>427</v>
      </c>
    </row>
    <row r="12" spans="1:29" x14ac:dyDescent="0.3">
      <c r="A12" s="56" t="s">
        <v>428</v>
      </c>
      <c r="C12" s="56">
        <v>70</v>
      </c>
      <c r="D12" s="56" t="s">
        <v>8</v>
      </c>
      <c r="H12" s="56" t="s">
        <v>429</v>
      </c>
      <c r="I12" s="56">
        <f>((3.14*(C27/2)^2)/I11)*1000</f>
        <v>258.55061401747537</v>
      </c>
      <c r="J12" s="56" t="s">
        <v>8</v>
      </c>
    </row>
    <row r="13" spans="1:29" ht="15" x14ac:dyDescent="0.3">
      <c r="A13" s="56" t="s">
        <v>430</v>
      </c>
      <c r="C13" s="56">
        <v>40</v>
      </c>
      <c r="D13" s="56" t="s">
        <v>8</v>
      </c>
      <c r="H13" s="220" t="str">
        <f>CONCATENATE("Provide ",C27," mm bars @ ",FLOOR(I12,100)," mm c/c as Main reinforcement")</f>
        <v>Provide 12 mm bars @ 200 mm c/c as Main reinforcement</v>
      </c>
      <c r="I13" s="220"/>
      <c r="J13" s="220"/>
      <c r="K13" s="220"/>
      <c r="L13" s="220"/>
      <c r="M13" s="220"/>
      <c r="N13" s="220"/>
    </row>
    <row r="14" spans="1:29" x14ac:dyDescent="0.3">
      <c r="H14" s="56" t="s">
        <v>431</v>
      </c>
      <c r="I14" s="56">
        <f>0.0012*1000*I6</f>
        <v>448.8</v>
      </c>
      <c r="J14" s="56" t="s">
        <v>427</v>
      </c>
    </row>
    <row r="15" spans="1:29" x14ac:dyDescent="0.3">
      <c r="A15" s="222" t="s">
        <v>432</v>
      </c>
      <c r="B15" s="222"/>
      <c r="C15" s="222"/>
      <c r="D15" s="222"/>
      <c r="H15" s="56" t="s">
        <v>429</v>
      </c>
      <c r="I15" s="56">
        <f>((3.14*(C28/2)^2)/I14)*1000</f>
        <v>111.94295900178253</v>
      </c>
    </row>
    <row r="16" spans="1:29" ht="15" x14ac:dyDescent="0.3">
      <c r="A16" s="56" t="s">
        <v>433</v>
      </c>
      <c r="C16" s="56">
        <v>16</v>
      </c>
      <c r="D16" s="56" t="s">
        <v>434</v>
      </c>
      <c r="H16" s="220" t="str">
        <f>CONCATENATE(" Provide ",C28, " mm Dia bars ", FLOOR(I15,25)," mm c/c as dist reinforcement")</f>
        <v xml:space="preserve"> Provide 8 mm Dia bars 100 mm c/c as dist reinforcement</v>
      </c>
      <c r="I16" s="220"/>
      <c r="J16" s="220"/>
      <c r="K16" s="220"/>
      <c r="L16" s="220"/>
      <c r="M16" s="220"/>
      <c r="N16" s="220"/>
    </row>
    <row r="17" spans="1:29" x14ac:dyDescent="0.3">
      <c r="A17" s="56" t="s">
        <v>435</v>
      </c>
      <c r="C17" s="56">
        <v>25</v>
      </c>
      <c r="D17" s="56" t="s">
        <v>434</v>
      </c>
    </row>
    <row r="18" spans="1:29" x14ac:dyDescent="0.3">
      <c r="A18" s="56" t="s">
        <v>379</v>
      </c>
      <c r="B18" s="56" t="s">
        <v>199</v>
      </c>
      <c r="C18" s="56">
        <v>30</v>
      </c>
    </row>
    <row r="19" spans="1:29" x14ac:dyDescent="0.3">
      <c r="A19" s="56" t="s">
        <v>436</v>
      </c>
      <c r="B19" s="56" t="s">
        <v>437</v>
      </c>
      <c r="C19" s="56">
        <v>550</v>
      </c>
    </row>
    <row r="20" spans="1:29" x14ac:dyDescent="0.3">
      <c r="A20" s="56" t="s">
        <v>438</v>
      </c>
      <c r="C20" s="56">
        <v>0</v>
      </c>
      <c r="D20" s="56" t="s">
        <v>439</v>
      </c>
    </row>
    <row r="21" spans="1:29" ht="15" x14ac:dyDescent="0.3">
      <c r="A21" s="56" t="s">
        <v>440</v>
      </c>
      <c r="C21" s="56">
        <v>160</v>
      </c>
      <c r="D21" s="56" t="s">
        <v>38</v>
      </c>
      <c r="H21" s="221" t="s">
        <v>441</v>
      </c>
      <c r="I21" s="221"/>
      <c r="J21" s="221"/>
      <c r="K21" s="221"/>
      <c r="L21" s="221"/>
      <c r="M21" s="221"/>
      <c r="N21" s="221"/>
    </row>
    <row r="22" spans="1:29" x14ac:dyDescent="0.3">
      <c r="A22" s="56" t="s">
        <v>442</v>
      </c>
      <c r="C22" s="56">
        <v>1.25</v>
      </c>
      <c r="D22" s="56" t="s">
        <v>9</v>
      </c>
      <c r="H22" s="56" t="s">
        <v>149</v>
      </c>
      <c r="I22" s="56">
        <f>I5</f>
        <v>10.5</v>
      </c>
      <c r="J22" s="56" t="s">
        <v>443</v>
      </c>
      <c r="Q22" s="142"/>
      <c r="R22" s="142"/>
      <c r="S22" s="142"/>
      <c r="T22" s="142"/>
      <c r="U22" s="142"/>
      <c r="V22" s="142"/>
      <c r="W22" s="142"/>
      <c r="X22" s="142"/>
      <c r="Y22" s="142"/>
      <c r="Z22" s="142"/>
      <c r="AA22" s="142"/>
      <c r="AB22" s="142"/>
      <c r="AC22" s="142"/>
    </row>
    <row r="23" spans="1:29" x14ac:dyDescent="0.3">
      <c r="A23" s="56" t="s">
        <v>444</v>
      </c>
      <c r="C23" s="56">
        <v>0.5</v>
      </c>
      <c r="H23" s="56" t="s">
        <v>445</v>
      </c>
      <c r="I23" s="56">
        <f>C16*((B32-B33)+C38*TAN(RADIANS(C8))/2)</f>
        <v>81.567187078897959</v>
      </c>
      <c r="J23" s="56" t="s">
        <v>443</v>
      </c>
      <c r="Q23" s="142"/>
      <c r="R23" s="142"/>
      <c r="S23" s="142"/>
      <c r="T23" s="142"/>
      <c r="U23" s="142"/>
      <c r="V23" s="142"/>
      <c r="W23" s="142"/>
      <c r="X23" s="142"/>
      <c r="Y23" s="142"/>
      <c r="Z23" s="142"/>
      <c r="AA23" s="142"/>
      <c r="AB23" s="142"/>
      <c r="AC23" s="142"/>
    </row>
    <row r="24" spans="1:29" x14ac:dyDescent="0.3">
      <c r="A24" s="56" t="s">
        <v>446</v>
      </c>
      <c r="I24" s="56">
        <f>I22+I23</f>
        <v>92.067187078897959</v>
      </c>
      <c r="Q24" s="142"/>
      <c r="R24" s="142"/>
      <c r="S24" s="142"/>
      <c r="T24" s="142"/>
      <c r="U24" s="142"/>
      <c r="V24" s="142"/>
      <c r="W24" s="142"/>
      <c r="X24" s="142"/>
      <c r="Y24" s="142"/>
      <c r="Z24" s="142"/>
      <c r="AA24" s="142"/>
      <c r="AB24" s="142"/>
      <c r="AC24" s="142"/>
    </row>
    <row r="25" spans="1:29" x14ac:dyDescent="0.3">
      <c r="A25" s="56" t="s">
        <v>447</v>
      </c>
      <c r="B25" s="56">
        <f>COS(D8)*((COS(D8)-SQRT(COS(D8)^2-COS(D6)^2))/(COS(D8)+SQRT(COS(D8)^2-COS(D6)^2)))</f>
        <v>0.37294985837073763</v>
      </c>
      <c r="H25" s="56" t="s">
        <v>448</v>
      </c>
      <c r="I25" s="56">
        <f>(B67-((B67-B68)/D37)*(B39+B33))</f>
        <v>80.0245249996415</v>
      </c>
      <c r="J25" s="56" t="s">
        <v>443</v>
      </c>
      <c r="Q25" s="142"/>
      <c r="R25" s="142"/>
      <c r="S25" s="142"/>
      <c r="T25" s="142"/>
      <c r="U25" s="142"/>
      <c r="V25" s="142"/>
      <c r="W25" s="142"/>
      <c r="X25" s="142"/>
      <c r="Y25" s="142"/>
      <c r="Z25" s="142"/>
      <c r="AA25" s="142"/>
      <c r="AB25" s="142"/>
      <c r="AC25" s="142"/>
    </row>
    <row r="26" spans="1:29" x14ac:dyDescent="0.3">
      <c r="A26" s="56" t="s">
        <v>449</v>
      </c>
      <c r="B26" s="56">
        <f>1/B25</f>
        <v>2.6813255925839008</v>
      </c>
      <c r="H26" s="56" t="s">
        <v>450</v>
      </c>
      <c r="I26" s="56">
        <f>I24-I25</f>
        <v>12.042662079256459</v>
      </c>
      <c r="J26" s="56" t="s">
        <v>443</v>
      </c>
      <c r="Q26" s="142"/>
      <c r="R26" s="142"/>
      <c r="S26" s="142"/>
      <c r="T26" s="142"/>
      <c r="U26" s="142"/>
      <c r="V26" s="142"/>
      <c r="W26" s="142"/>
      <c r="X26" s="142"/>
      <c r="Y26" s="142"/>
      <c r="Z26" s="142"/>
      <c r="AA26" s="142"/>
      <c r="AB26" s="142"/>
      <c r="AC26" s="142"/>
    </row>
    <row r="27" spans="1:29" x14ac:dyDescent="0.3">
      <c r="A27" s="56" t="s">
        <v>451</v>
      </c>
      <c r="C27" s="56">
        <v>12</v>
      </c>
      <c r="D27" s="56" t="s">
        <v>8</v>
      </c>
      <c r="H27" s="56" t="s">
        <v>452</v>
      </c>
      <c r="I27" s="56">
        <f>I24-B68</f>
        <v>59.378304112241949</v>
      </c>
      <c r="J27" s="56" t="s">
        <v>443</v>
      </c>
      <c r="Q27" s="142"/>
      <c r="R27" s="142"/>
      <c r="S27" s="142"/>
      <c r="T27" s="142"/>
      <c r="U27" s="142"/>
      <c r="V27" s="142"/>
      <c r="W27" s="142"/>
      <c r="X27" s="142"/>
      <c r="Y27" s="142"/>
      <c r="Z27" s="142"/>
      <c r="AA27" s="142"/>
      <c r="AB27" s="142"/>
      <c r="AC27" s="142"/>
    </row>
    <row r="28" spans="1:29" x14ac:dyDescent="0.3">
      <c r="A28" s="56" t="s">
        <v>453</v>
      </c>
      <c r="C28" s="56">
        <v>8</v>
      </c>
      <c r="D28" s="56" t="s">
        <v>8</v>
      </c>
      <c r="H28" s="56" t="s">
        <v>59</v>
      </c>
      <c r="I28" s="56">
        <f>1.5*0.5*(I27+I26)*B40</f>
        <v>83.026873197616908</v>
      </c>
      <c r="J28" s="56" t="s">
        <v>150</v>
      </c>
      <c r="Q28" s="142"/>
      <c r="R28" s="142"/>
      <c r="S28" s="142"/>
      <c r="T28" s="142"/>
      <c r="U28" s="142"/>
      <c r="V28" s="142"/>
      <c r="W28" s="142"/>
      <c r="X28" s="142"/>
      <c r="Y28" s="142"/>
      <c r="Z28" s="142"/>
      <c r="AA28" s="142"/>
      <c r="AB28" s="142"/>
      <c r="AC28" s="142"/>
    </row>
    <row r="29" spans="1:29" x14ac:dyDescent="0.3">
      <c r="A29" s="56" t="s">
        <v>454</v>
      </c>
      <c r="C29" s="56">
        <v>12</v>
      </c>
      <c r="D29" s="56" t="s">
        <v>8</v>
      </c>
      <c r="H29" s="56" t="s">
        <v>39</v>
      </c>
      <c r="I29" s="56">
        <f>1.5*((I26*(B40^2)/2)+(I27-I26)*0.5*(B40^2)*2/3)</f>
        <v>78.561311726184059</v>
      </c>
      <c r="J29" s="56" t="s">
        <v>455</v>
      </c>
      <c r="Q29" s="142"/>
      <c r="R29" s="142"/>
      <c r="S29" s="142"/>
      <c r="T29" s="142"/>
      <c r="U29" s="142"/>
      <c r="V29" s="219" t="str">
        <f>CONCATENATE(B36," m")</f>
        <v>0.15 m</v>
      </c>
      <c r="W29" s="219"/>
      <c r="X29" s="142"/>
      <c r="Y29" s="142"/>
      <c r="Z29" s="142"/>
      <c r="AA29" s="142"/>
      <c r="AB29" s="142"/>
      <c r="AC29" s="142"/>
    </row>
    <row r="30" spans="1:29" x14ac:dyDescent="0.3">
      <c r="Q30" s="142"/>
      <c r="R30" s="142"/>
      <c r="S30" s="142"/>
      <c r="T30" s="142"/>
      <c r="U30" s="142"/>
      <c r="V30" s="142"/>
      <c r="W30" s="142"/>
      <c r="X30" s="142"/>
      <c r="Y30" s="142"/>
      <c r="Z30" s="142"/>
      <c r="AA30" s="142"/>
      <c r="AB30" s="142"/>
      <c r="AC30" s="142"/>
    </row>
    <row r="31" spans="1:29" ht="15" x14ac:dyDescent="0.3">
      <c r="A31" s="221" t="s">
        <v>456</v>
      </c>
      <c r="B31" s="221"/>
      <c r="C31" s="221"/>
      <c r="D31" s="221"/>
      <c r="H31" s="56" t="s">
        <v>457</v>
      </c>
      <c r="I31" s="56">
        <f>((I29*10^6)/(1000*I6*I6))</f>
        <v>0.56164968776762314</v>
      </c>
      <c r="Q31" s="142"/>
      <c r="R31" s="142"/>
      <c r="S31" s="142"/>
      <c r="T31" s="142"/>
      <c r="U31" s="142"/>
      <c r="V31" s="142"/>
      <c r="W31" s="142"/>
      <c r="X31" s="142"/>
      <c r="Y31" s="142"/>
      <c r="Z31" s="142"/>
      <c r="AA31" s="142"/>
      <c r="AB31" s="142"/>
      <c r="AC31" s="142"/>
    </row>
    <row r="32" spans="1:29" x14ac:dyDescent="0.3">
      <c r="A32" s="56" t="s">
        <v>458</v>
      </c>
      <c r="B32" s="56">
        <f>C5</f>
        <v>5.25</v>
      </c>
      <c r="C32" s="56" t="s">
        <v>9</v>
      </c>
      <c r="H32" s="56" t="s">
        <v>71</v>
      </c>
      <c r="I32" s="56">
        <f>(0.5*C18/C19)*(1-SQRT(1-(4.598*I31/C18)))*1000*I6</f>
        <v>448.89696171684301</v>
      </c>
      <c r="J32" s="56" t="s">
        <v>427</v>
      </c>
      <c r="Q32" s="142"/>
      <c r="R32" s="142"/>
      <c r="S32" s="142"/>
      <c r="T32" s="142"/>
      <c r="U32" s="142"/>
      <c r="V32" s="142"/>
      <c r="W32" s="142"/>
      <c r="X32" s="142"/>
      <c r="Y32" s="142"/>
      <c r="Z32" s="142"/>
      <c r="AA32" s="142"/>
      <c r="AB32" s="142"/>
      <c r="AC32" s="142"/>
    </row>
    <row r="33" spans="1:29" x14ac:dyDescent="0.3">
      <c r="A33" s="56" t="s">
        <v>459</v>
      </c>
      <c r="B33" s="56">
        <v>0.42</v>
      </c>
      <c r="C33" s="56" t="s">
        <v>9</v>
      </c>
      <c r="H33" s="56" t="s">
        <v>429</v>
      </c>
      <c r="I33" s="56">
        <f>((3.14*(C27/2)^2)/I32)*1000</f>
        <v>251.81725349102234</v>
      </c>
      <c r="J33" s="56" t="s">
        <v>8</v>
      </c>
      <c r="Q33" s="142"/>
      <c r="R33" s="142"/>
      <c r="S33" s="142"/>
      <c r="T33" s="142"/>
      <c r="U33" s="142"/>
      <c r="V33" s="142"/>
      <c r="W33" s="142"/>
      <c r="X33" s="142"/>
      <c r="Y33" s="142"/>
      <c r="Z33" s="142"/>
      <c r="AA33" s="142"/>
      <c r="AB33" s="142"/>
      <c r="AC33" s="142"/>
    </row>
    <row r="34" spans="1:29" ht="15" x14ac:dyDescent="0.3">
      <c r="A34" s="56" t="s">
        <v>460</v>
      </c>
      <c r="H34" s="220" t="str">
        <f>CONCATENATE("Provide ", C27, " mm dia bar @",FLOOR(I33,100)," mm c/c as Main reinforcement")</f>
        <v>Provide 12 mm dia bar @200 mm c/c as Main reinforcement</v>
      </c>
      <c r="I34" s="220"/>
      <c r="J34" s="220"/>
      <c r="K34" s="220"/>
      <c r="L34" s="220"/>
      <c r="M34" s="220"/>
      <c r="N34" s="220"/>
      <c r="Q34" s="142"/>
      <c r="R34" s="142"/>
      <c r="S34" s="142"/>
      <c r="T34" s="142"/>
      <c r="U34" s="142"/>
      <c r="V34" s="142"/>
      <c r="W34" s="142"/>
      <c r="X34" s="142"/>
      <c r="Y34" s="142"/>
      <c r="Z34" s="142"/>
      <c r="AA34" s="142"/>
      <c r="AB34" s="142"/>
      <c r="AC34" s="142"/>
    </row>
    <row r="35" spans="1:29" ht="15" x14ac:dyDescent="0.3">
      <c r="A35" s="56" t="s">
        <v>461</v>
      </c>
      <c r="B35" s="56">
        <v>0.45</v>
      </c>
      <c r="C35" s="56" t="s">
        <v>9</v>
      </c>
      <c r="H35" s="220" t="str">
        <f>H16</f>
        <v xml:space="preserve"> Provide 8 mm Dia bars 100 mm c/c as dist reinforcement</v>
      </c>
      <c r="I35" s="220"/>
      <c r="J35" s="220"/>
      <c r="K35" s="220"/>
      <c r="L35" s="220"/>
      <c r="M35" s="220"/>
      <c r="N35" s="220"/>
      <c r="Q35" s="142"/>
      <c r="R35" s="142"/>
      <c r="S35" s="142"/>
      <c r="T35" s="142"/>
      <c r="U35" s="142"/>
      <c r="V35" s="142"/>
      <c r="W35" s="142"/>
      <c r="X35" s="142"/>
      <c r="Y35" s="142"/>
      <c r="Z35" s="142"/>
      <c r="AA35" s="142"/>
      <c r="AB35" s="142"/>
      <c r="AC35" s="142"/>
    </row>
    <row r="36" spans="1:29" x14ac:dyDescent="0.3">
      <c r="A36" s="56" t="s">
        <v>462</v>
      </c>
      <c r="B36" s="56">
        <v>0.15</v>
      </c>
      <c r="C36" s="56" t="s">
        <v>9</v>
      </c>
      <c r="Q36" s="142"/>
      <c r="R36" s="142"/>
      <c r="S36" s="142"/>
      <c r="T36" s="142" t="str">
        <f>CONCATENATE(B35," m")</f>
        <v>0.45 m</v>
      </c>
      <c r="U36" s="142"/>
      <c r="V36" s="142"/>
      <c r="W36" s="142"/>
      <c r="X36" s="142"/>
      <c r="Y36" s="142"/>
      <c r="Z36" s="142"/>
      <c r="AA36" s="142" t="str">
        <f>CONCATENATE(B32, " m")</f>
        <v>5.25 m</v>
      </c>
      <c r="AB36" s="142"/>
      <c r="AC36" s="142"/>
    </row>
    <row r="37" spans="1:29" x14ac:dyDescent="0.3">
      <c r="A37" s="56" t="s">
        <v>463</v>
      </c>
      <c r="B37" s="56">
        <f>0.5*C5</f>
        <v>2.625</v>
      </c>
      <c r="C37" s="56">
        <f>0.7*C5</f>
        <v>3.6749999999999998</v>
      </c>
      <c r="D37" s="56">
        <v>3</v>
      </c>
      <c r="Q37" s="142"/>
      <c r="R37" s="142"/>
      <c r="S37" s="142"/>
      <c r="T37" s="142"/>
      <c r="U37" s="142"/>
      <c r="V37" s="142"/>
      <c r="W37" s="142"/>
      <c r="X37" s="142"/>
      <c r="Y37" s="142"/>
      <c r="Z37" s="142"/>
      <c r="AA37" s="142"/>
      <c r="AB37" s="142"/>
      <c r="AC37" s="142"/>
    </row>
    <row r="38" spans="1:29" x14ac:dyDescent="0.3">
      <c r="A38" s="56" t="s">
        <v>238</v>
      </c>
      <c r="B38" s="56">
        <f>SQRT(B25/3)*B44</f>
        <v>2.0400245694980335</v>
      </c>
      <c r="C38" s="56">
        <v>2</v>
      </c>
      <c r="Q38" s="142"/>
      <c r="R38" s="142"/>
      <c r="S38" s="142"/>
      <c r="T38" s="142"/>
      <c r="U38" s="142"/>
      <c r="V38" s="142"/>
      <c r="W38" s="142"/>
      <c r="X38" s="142"/>
      <c r="Y38" s="142"/>
      <c r="Z38" s="142"/>
      <c r="AA38" s="142"/>
      <c r="AB38" s="142"/>
      <c r="AC38" s="142"/>
    </row>
    <row r="39" spans="1:29" x14ac:dyDescent="0.3">
      <c r="A39" s="56" t="s">
        <v>464</v>
      </c>
      <c r="B39" s="56">
        <f>D37-C38</f>
        <v>1</v>
      </c>
      <c r="C39" s="56" t="s">
        <v>9</v>
      </c>
      <c r="Q39" s="142"/>
      <c r="R39" s="142"/>
      <c r="S39" s="142"/>
      <c r="T39" s="142"/>
      <c r="U39" s="142" t="str">
        <f>CONCATENATE(B39," m")</f>
        <v>1 m</v>
      </c>
      <c r="V39" s="142"/>
      <c r="W39" s="142"/>
      <c r="X39" s="142" t="str">
        <f>CONCATENATE(B40, " m")</f>
        <v>1.55 m</v>
      </c>
      <c r="Y39" s="142"/>
      <c r="Z39" s="142"/>
      <c r="AA39" s="142"/>
      <c r="AB39" s="142"/>
      <c r="AC39" s="142"/>
    </row>
    <row r="40" spans="1:29" x14ac:dyDescent="0.3">
      <c r="A40" s="56" t="s">
        <v>465</v>
      </c>
      <c r="B40" s="56">
        <f>D37-B39-B35</f>
        <v>1.55</v>
      </c>
      <c r="C40" s="56" t="s">
        <v>9</v>
      </c>
      <c r="Q40" s="142"/>
      <c r="R40" s="142"/>
      <c r="S40" s="142"/>
      <c r="T40" s="142"/>
      <c r="U40" s="142"/>
      <c r="V40" s="142"/>
      <c r="W40" s="142"/>
      <c r="X40" s="142"/>
      <c r="Y40" s="142"/>
      <c r="Z40" s="142"/>
      <c r="AA40" s="142"/>
      <c r="AB40" s="142"/>
      <c r="AC40" s="142"/>
    </row>
    <row r="41" spans="1:29" ht="14.4" customHeight="1" x14ac:dyDescent="0.3">
      <c r="Q41" s="142"/>
      <c r="R41" s="142"/>
      <c r="S41" s="142"/>
      <c r="T41" s="142"/>
      <c r="U41" s="142"/>
      <c r="V41" s="142"/>
      <c r="W41" s="142"/>
      <c r="X41" s="142"/>
      <c r="Y41" s="142"/>
      <c r="Z41" s="142"/>
      <c r="AA41" s="142"/>
      <c r="AB41" s="142"/>
      <c r="AC41" s="142"/>
    </row>
    <row r="42" spans="1:29" ht="15" x14ac:dyDescent="0.3">
      <c r="A42" s="222" t="s">
        <v>466</v>
      </c>
      <c r="B42" s="222"/>
      <c r="C42" s="222"/>
      <c r="D42" s="222"/>
      <c r="H42" s="221" t="s">
        <v>467</v>
      </c>
      <c r="I42" s="221"/>
      <c r="J42" s="221"/>
      <c r="K42" s="221"/>
      <c r="L42" s="221"/>
      <c r="M42" s="221"/>
      <c r="N42" s="221"/>
      <c r="Q42" s="142"/>
      <c r="R42" s="142"/>
      <c r="S42" s="142" t="str">
        <f>CONCATENATE(B33," m")</f>
        <v>0.42 m</v>
      </c>
      <c r="T42" s="142"/>
      <c r="U42" s="142"/>
      <c r="V42" s="142"/>
      <c r="W42" s="142"/>
      <c r="X42" s="142"/>
      <c r="Y42" s="142"/>
      <c r="Z42" s="142"/>
      <c r="AA42" s="142"/>
      <c r="AB42" s="142"/>
      <c r="AC42" s="142"/>
    </row>
    <row r="43" spans="1:29" x14ac:dyDescent="0.3">
      <c r="H43" s="56" t="s">
        <v>468</v>
      </c>
      <c r="I43" s="56">
        <f>B32-B33</f>
        <v>4.83</v>
      </c>
      <c r="J43" s="56" t="s">
        <v>9</v>
      </c>
      <c r="Q43" s="142"/>
      <c r="R43" s="142"/>
      <c r="S43" s="142"/>
      <c r="T43" s="142"/>
      <c r="U43" s="142"/>
      <c r="V43" s="142"/>
      <c r="W43" s="142"/>
      <c r="X43" s="142"/>
      <c r="Y43" s="142"/>
      <c r="Z43" s="142"/>
      <c r="AA43" s="142"/>
      <c r="AB43" s="142"/>
      <c r="AC43" s="142"/>
    </row>
    <row r="44" spans="1:29" x14ac:dyDescent="0.3">
      <c r="A44" s="56" t="s">
        <v>469</v>
      </c>
      <c r="B44" s="56">
        <f>C5+C38*TAN(RADIANS(C8))+C20/C16</f>
        <v>5.7858983848622456</v>
      </c>
      <c r="H44" s="56" t="s">
        <v>470</v>
      </c>
      <c r="I44" s="56">
        <f>B35-(C13/1000)-(C29/2000)</f>
        <v>0.40400000000000003</v>
      </c>
      <c r="J44" s="56" t="s">
        <v>9</v>
      </c>
      <c r="Q44" s="142"/>
      <c r="R44" s="142"/>
      <c r="S44" s="142"/>
      <c r="T44" s="142"/>
      <c r="U44" s="219" t="str">
        <f>CONCATENATE(B73,"mm")</f>
        <v>1300mm</v>
      </c>
      <c r="V44" s="219"/>
      <c r="W44" s="142"/>
      <c r="X44" s="219" t="str">
        <f>CONCATENATE(B74,"mm x ",B75," mm")</f>
        <v>300mm x 300 mm</v>
      </c>
      <c r="Y44" s="219"/>
      <c r="Z44" s="142"/>
      <c r="AA44" s="142"/>
      <c r="AB44" s="142"/>
      <c r="AC44" s="142"/>
    </row>
    <row r="45" spans="1:29" x14ac:dyDescent="0.3">
      <c r="A45" s="56" t="s">
        <v>471</v>
      </c>
      <c r="B45" s="56">
        <f>0.5*B25*C16*B44*B44</f>
        <v>99.880805859735318</v>
      </c>
      <c r="C45" s="56" t="s">
        <v>3</v>
      </c>
      <c r="H45" s="56" t="s">
        <v>39</v>
      </c>
      <c r="I45" s="56">
        <f>1.5*((B25*C16*I43*I43/2)*COS(RADIANS(C8)))*(I43/3)</f>
        <v>162.36619313087618</v>
      </c>
      <c r="J45" s="56" t="s">
        <v>472</v>
      </c>
      <c r="Q45" s="142"/>
      <c r="R45" s="142"/>
      <c r="S45" s="142"/>
      <c r="T45" s="142"/>
      <c r="U45" s="142"/>
      <c r="V45" s="142"/>
      <c r="W45" s="142"/>
      <c r="X45" s="142"/>
      <c r="Y45" s="142"/>
      <c r="Z45" s="142"/>
      <c r="AA45" s="142"/>
      <c r="AB45" s="142"/>
      <c r="AC45" s="142"/>
    </row>
    <row r="46" spans="1:29" x14ac:dyDescent="0.3">
      <c r="A46" s="56" t="s">
        <v>473</v>
      </c>
      <c r="B46" s="56">
        <f>B45*COS(RADIANS(C8))</f>
        <v>96.477449930482848</v>
      </c>
      <c r="C46" s="56" t="s">
        <v>3</v>
      </c>
      <c r="H46" s="56" t="s">
        <v>457</v>
      </c>
      <c r="I46" s="56">
        <f>(I45*10^6)/(1000*(I44*1000)^2)</f>
        <v>0.99479336052149414</v>
      </c>
      <c r="Q46" s="142"/>
      <c r="R46" s="142"/>
      <c r="S46" s="142"/>
      <c r="T46" s="142"/>
      <c r="U46" s="142"/>
      <c r="V46" s="142"/>
      <c r="W46" s="142"/>
      <c r="X46" s="142"/>
      <c r="Y46" s="142"/>
      <c r="Z46" s="142"/>
      <c r="AA46" s="142"/>
      <c r="AB46" s="142"/>
      <c r="AC46" s="142"/>
    </row>
    <row r="47" spans="1:29" x14ac:dyDescent="0.3">
      <c r="A47" s="56" t="s">
        <v>474</v>
      </c>
      <c r="B47" s="56">
        <f>B45*(SIN(RADIANS(C8)))</f>
        <v>25.851054796686952</v>
      </c>
      <c r="C47" s="56" t="s">
        <v>3</v>
      </c>
      <c r="H47" s="56" t="s">
        <v>71</v>
      </c>
      <c r="I47" s="56">
        <f>(0.5*C18/C19)*(1-SQRT(1-(4.598*I46/C18)))*1000*I44*1000</f>
        <v>874.68219716380861</v>
      </c>
      <c r="J47" s="56" t="s">
        <v>427</v>
      </c>
      <c r="Q47" s="142"/>
      <c r="R47" s="142"/>
      <c r="S47" s="142"/>
      <c r="T47" s="142"/>
      <c r="U47" s="142"/>
      <c r="V47" s="142"/>
      <c r="W47" s="142" t="str">
        <f>CONCATENATE(D37," m")</f>
        <v>3 m</v>
      </c>
      <c r="X47" s="142"/>
      <c r="Y47" s="142"/>
      <c r="Z47" s="142"/>
      <c r="AA47" s="142"/>
      <c r="AB47" s="142"/>
      <c r="AC47" s="142"/>
    </row>
    <row r="48" spans="1:29" x14ac:dyDescent="0.3">
      <c r="H48" s="56" t="s">
        <v>429</v>
      </c>
      <c r="I48" s="56">
        <f>((3.14*(C29/2)^2)/I47)*1000</f>
        <v>129.23551018476957</v>
      </c>
      <c r="J48" s="56" t="s">
        <v>8</v>
      </c>
      <c r="Q48" s="142"/>
      <c r="R48" s="142"/>
      <c r="S48" s="142"/>
      <c r="T48" s="142"/>
      <c r="U48" s="142"/>
      <c r="V48" s="142"/>
      <c r="W48" s="142"/>
      <c r="X48" s="142"/>
      <c r="Y48" s="142"/>
      <c r="Z48" s="142"/>
      <c r="AA48" s="142"/>
      <c r="AB48" s="142"/>
      <c r="AC48" s="142"/>
    </row>
    <row r="49" spans="1:29" ht="15" x14ac:dyDescent="0.3">
      <c r="A49" s="56" t="s">
        <v>475</v>
      </c>
      <c r="B49" s="56">
        <f>B46*B44/3</f>
        <v>186.06957390946965</v>
      </c>
      <c r="C49" s="56" t="s">
        <v>228</v>
      </c>
      <c r="H49" s="220" t="str">
        <f>CONCATENATE("Provide ", C29, " mm dia bars @ ",FLOOR(I48,25)," mm c/c" )</f>
        <v>Provide 12 mm dia bars @ 125 mm c/c</v>
      </c>
      <c r="I49" s="220"/>
      <c r="J49" s="220"/>
      <c r="K49" s="220"/>
      <c r="L49" s="220"/>
      <c r="M49" s="220"/>
      <c r="N49" s="220"/>
      <c r="Q49" s="142"/>
      <c r="R49" s="142"/>
      <c r="S49" s="142"/>
      <c r="T49" s="142"/>
      <c r="U49" s="142"/>
      <c r="V49" s="142"/>
      <c r="W49" s="142"/>
      <c r="X49" s="142"/>
      <c r="Y49" s="142"/>
      <c r="Z49" s="142"/>
      <c r="AA49" s="142"/>
      <c r="AB49" s="142"/>
      <c r="AC49" s="142"/>
    </row>
    <row r="50" spans="1:29" x14ac:dyDescent="0.3">
      <c r="Q50" s="142"/>
      <c r="R50" s="142"/>
      <c r="S50" s="142"/>
      <c r="T50" s="142"/>
      <c r="U50" s="142"/>
      <c r="V50" s="142"/>
      <c r="W50" s="142"/>
      <c r="X50" s="142"/>
      <c r="Y50" s="142"/>
      <c r="Z50" s="142"/>
      <c r="AA50" s="142"/>
      <c r="AB50" s="142"/>
      <c r="AC50" s="142"/>
    </row>
    <row r="51" spans="1:29" x14ac:dyDescent="0.3">
      <c r="A51" s="143"/>
      <c r="B51" s="144" t="s">
        <v>476</v>
      </c>
      <c r="C51" s="144" t="s">
        <v>477</v>
      </c>
      <c r="D51" s="144" t="s">
        <v>478</v>
      </c>
      <c r="H51" s="56" t="s">
        <v>479</v>
      </c>
      <c r="I51" s="56">
        <f>(0.0012*1000*(B35*1000))</f>
        <v>540</v>
      </c>
      <c r="J51" s="56" t="s">
        <v>427</v>
      </c>
      <c r="Q51" s="142"/>
      <c r="R51" s="142"/>
      <c r="S51" s="142"/>
      <c r="T51" s="142"/>
      <c r="U51" s="142"/>
      <c r="V51" s="142"/>
      <c r="W51" s="142"/>
      <c r="X51" s="142"/>
      <c r="Y51" s="142"/>
      <c r="Z51" s="142"/>
      <c r="AA51" s="142"/>
      <c r="AB51" s="142"/>
      <c r="AC51" s="142"/>
    </row>
    <row r="52" spans="1:29" x14ac:dyDescent="0.3">
      <c r="A52" s="143" t="s">
        <v>480</v>
      </c>
      <c r="B52" s="144">
        <f>(C38-B36)*C16*(B32-B33)</f>
        <v>142.96800000000002</v>
      </c>
      <c r="C52" s="144">
        <f>(C38-B36)/2</f>
        <v>0.92500000000000004</v>
      </c>
      <c r="D52" s="144">
        <f>B52*C52</f>
        <v>132.24540000000002</v>
      </c>
      <c r="H52" s="56" t="s">
        <v>429</v>
      </c>
      <c r="I52" s="56">
        <f>((3.14*(C28/2)^2)/I51)*1000</f>
        <v>93.037037037037038</v>
      </c>
      <c r="J52" s="56" t="s">
        <v>8</v>
      </c>
      <c r="Q52" s="142"/>
      <c r="R52" s="142"/>
      <c r="S52" s="142"/>
      <c r="T52" s="142"/>
      <c r="U52" s="142"/>
      <c r="V52" s="142"/>
      <c r="W52" s="142"/>
      <c r="X52" s="142"/>
      <c r="Y52" s="142"/>
      <c r="Z52" s="142"/>
      <c r="AA52" s="142"/>
      <c r="AB52" s="142"/>
      <c r="AC52" s="142"/>
    </row>
    <row r="53" spans="1:29" x14ac:dyDescent="0.3">
      <c r="A53" s="145" t="s">
        <v>481</v>
      </c>
      <c r="B53" s="146">
        <f>C16*0.5*(C38-B36)*C38*TAN(RADIANS(C8))</f>
        <v>7.9312960959612324</v>
      </c>
      <c r="C53" s="147">
        <f>(C38-B36)*1/3</f>
        <v>0.6166666666666667</v>
      </c>
      <c r="D53" s="148">
        <f t="shared" ref="D53:D56" si="0">B53*C53</f>
        <v>4.8909659258427602</v>
      </c>
    </row>
    <row r="54" spans="1:29" x14ac:dyDescent="0.3">
      <c r="A54" s="145" t="s">
        <v>482</v>
      </c>
      <c r="B54" s="146">
        <f>C17*B36*(B32-B33)</f>
        <v>18.112500000000001</v>
      </c>
      <c r="C54" s="146">
        <f>C38-B36/2</f>
        <v>1.925</v>
      </c>
      <c r="D54" s="148">
        <f t="shared" si="0"/>
        <v>34.866562500000001</v>
      </c>
    </row>
    <row r="55" spans="1:29" x14ac:dyDescent="0.3">
      <c r="A55" s="145" t="s">
        <v>483</v>
      </c>
      <c r="B55" s="146">
        <f>(C17-C16)*(B32-B33)*(B35-B36)*0.5</f>
        <v>6.5205000000000011</v>
      </c>
      <c r="C55" s="146">
        <f>C38-B36-(1/3)*(B35-B36)</f>
        <v>1.75</v>
      </c>
      <c r="D55" s="148">
        <f t="shared" si="0"/>
        <v>11.410875000000003</v>
      </c>
    </row>
    <row r="56" spans="1:29" x14ac:dyDescent="0.3">
      <c r="A56" s="149" t="s">
        <v>484</v>
      </c>
      <c r="B56" s="150">
        <f>C17*D37*B33</f>
        <v>31.5</v>
      </c>
      <c r="C56" s="150">
        <f>D37/2</f>
        <v>1.5</v>
      </c>
      <c r="D56" s="150">
        <f t="shared" si="0"/>
        <v>47.25</v>
      </c>
    </row>
    <row r="57" spans="1:29" x14ac:dyDescent="0.3">
      <c r="B57" s="56">
        <f>SUM(B52:B56)+B47</f>
        <v>232.88335089264822</v>
      </c>
      <c r="D57" s="56">
        <f>SUM(D52:D56)</f>
        <v>230.66380342584276</v>
      </c>
    </row>
    <row r="59" spans="1:29" x14ac:dyDescent="0.3">
      <c r="A59" s="56" t="s">
        <v>485</v>
      </c>
      <c r="B59" s="56">
        <f>D57/B57</f>
        <v>0.99046927374456839</v>
      </c>
    </row>
    <row r="60" spans="1:29" x14ac:dyDescent="0.3">
      <c r="A60" s="56" t="s">
        <v>486</v>
      </c>
      <c r="B60" s="56">
        <f>B57*(D37-B59)</f>
        <v>467.98624925210191</v>
      </c>
    </row>
    <row r="61" spans="1:29" x14ac:dyDescent="0.3">
      <c r="A61" s="56" t="s">
        <v>487</v>
      </c>
      <c r="B61" s="56">
        <f>0.9*B60/B49</f>
        <v>2.2636028850789787</v>
      </c>
    </row>
    <row r="62" spans="1:29" x14ac:dyDescent="0.3">
      <c r="A62" s="62" t="str">
        <f>IF(B61&gt;1.5,"Okay","Not Okay")</f>
        <v>Okay</v>
      </c>
    </row>
    <row r="64" spans="1:29" ht="15" x14ac:dyDescent="0.3">
      <c r="A64" s="221" t="s">
        <v>488</v>
      </c>
      <c r="B64" s="221"/>
      <c r="C64" s="221"/>
      <c r="D64" s="221"/>
    </row>
    <row r="66" spans="1:4" ht="15" x14ac:dyDescent="0.3">
      <c r="A66" s="56" t="s">
        <v>489</v>
      </c>
      <c r="B66" s="56">
        <f>(D57+B49)/B57-D37/2</f>
        <v>0.2894511382542464</v>
      </c>
      <c r="C66" s="56" t="s">
        <v>9</v>
      </c>
      <c r="D66" s="151" t="str">
        <f>IF(B66&lt;D37/6,"okay", " not okay")</f>
        <v>okay</v>
      </c>
    </row>
    <row r="67" spans="1:4" x14ac:dyDescent="0.3">
      <c r="A67" s="56" t="s">
        <v>490</v>
      </c>
      <c r="B67" s="56">
        <f>(B57/D37)*(1+(6*B66)/D37)</f>
        <v>122.56668429510948</v>
      </c>
      <c r="C67" s="56" t="s">
        <v>491</v>
      </c>
      <c r="D67" s="62" t="str">
        <f>IF(B67&lt;C21,"Okay","Not okay")</f>
        <v>Okay</v>
      </c>
    </row>
    <row r="68" spans="1:4" x14ac:dyDescent="0.3">
      <c r="A68" s="56" t="s">
        <v>492</v>
      </c>
      <c r="B68" s="56">
        <f>(B57/D37)*(1-(6*B66)/D37)</f>
        <v>32.68888296665601</v>
      </c>
      <c r="C68" s="56" t="s">
        <v>491</v>
      </c>
    </row>
    <row r="70" spans="1:4" ht="15" x14ac:dyDescent="0.3">
      <c r="A70" s="221" t="s">
        <v>493</v>
      </c>
      <c r="B70" s="221"/>
      <c r="C70" s="221"/>
      <c r="D70" s="221"/>
    </row>
    <row r="72" spans="1:4" x14ac:dyDescent="0.3">
      <c r="A72" s="56" t="s">
        <v>487</v>
      </c>
      <c r="B72" s="56">
        <f>0.9*C23*B57/B46</f>
        <v>1.0862383694552862</v>
      </c>
      <c r="C72" s="62" t="str">
        <f>IF(B72&gt;1.5,"Okay","Provide Shear Key")</f>
        <v>Provide Shear Key</v>
      </c>
    </row>
    <row r="73" spans="1:4" x14ac:dyDescent="0.3">
      <c r="A73" s="56" t="s">
        <v>494</v>
      </c>
      <c r="B73" s="56">
        <v>1300</v>
      </c>
      <c r="C73" s="56" t="s">
        <v>8</v>
      </c>
    </row>
    <row r="74" spans="1:4" x14ac:dyDescent="0.3">
      <c r="A74" s="56" t="s">
        <v>7</v>
      </c>
      <c r="B74" s="56">
        <v>300</v>
      </c>
      <c r="C74" s="56" t="s">
        <v>8</v>
      </c>
    </row>
    <row r="75" spans="1:4" x14ac:dyDescent="0.3">
      <c r="A75" s="56" t="s">
        <v>11</v>
      </c>
      <c r="B75" s="56">
        <v>300</v>
      </c>
      <c r="C75" s="56" t="s">
        <v>8</v>
      </c>
    </row>
    <row r="76" spans="1:4" x14ac:dyDescent="0.3">
      <c r="A76" s="56" t="s">
        <v>495</v>
      </c>
      <c r="B76" s="56">
        <f>(C16*B26*(C22-0.3+(B74/1000)+(B73/1000)*TAN(RADIANS(C6)))^2-(C22-0.3)^2)/2</f>
        <v>85.39882594712391</v>
      </c>
      <c r="C76" s="56" t="s">
        <v>3</v>
      </c>
    </row>
    <row r="77" spans="1:4" x14ac:dyDescent="0.3">
      <c r="A77" s="56" t="s">
        <v>496</v>
      </c>
      <c r="B77" s="56">
        <f>(0.9*C23*B57+B76)/B46</f>
        <v>1.9714071421442236</v>
      </c>
    </row>
    <row r="78" spans="1:4" x14ac:dyDescent="0.3">
      <c r="A78" s="62" t="str">
        <f>IF(B77&gt;1.5,"Okay","not okay")</f>
        <v>Okay</v>
      </c>
    </row>
  </sheetData>
  <mergeCells count="18">
    <mergeCell ref="A42:D42"/>
    <mergeCell ref="H42:N42"/>
    <mergeCell ref="A1:AC1"/>
    <mergeCell ref="A3:D3"/>
    <mergeCell ref="H3:N3"/>
    <mergeCell ref="H13:N13"/>
    <mergeCell ref="A15:D15"/>
    <mergeCell ref="H16:N16"/>
    <mergeCell ref="H21:N21"/>
    <mergeCell ref="V29:W29"/>
    <mergeCell ref="A31:D31"/>
    <mergeCell ref="H34:N34"/>
    <mergeCell ref="H35:N35"/>
    <mergeCell ref="U44:V44"/>
    <mergeCell ref="X44:Y44"/>
    <mergeCell ref="H49:N49"/>
    <mergeCell ref="A64:D64"/>
    <mergeCell ref="A70:D7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BC544-BD97-4DF7-B236-DDAE90489C24}">
  <dimension ref="A1:P30"/>
  <sheetViews>
    <sheetView workbookViewId="0">
      <selection activeCell="B3" sqref="B3"/>
    </sheetView>
  </sheetViews>
  <sheetFormatPr defaultColWidth="8.90625" defaultRowHeight="14" x14ac:dyDescent="0.35"/>
  <cols>
    <col min="1" max="1" width="39.90625" style="92" bestFit="1" customWidth="1"/>
    <col min="2" max="4" width="8.90625" style="92"/>
    <col min="5" max="5" width="40.453125" style="92" bestFit="1" customWidth="1"/>
    <col min="6" max="6" width="12" style="92" bestFit="1" customWidth="1"/>
    <col min="7" max="7" width="8.90625" style="92"/>
    <col min="8" max="8" width="9.36328125" style="92" bestFit="1" customWidth="1"/>
    <col min="9" max="9" width="28.6328125" style="92" bestFit="1" customWidth="1"/>
    <col min="10" max="16384" width="8.90625" style="92"/>
  </cols>
  <sheetData>
    <row r="1" spans="1:16" x14ac:dyDescent="0.35">
      <c r="A1" s="202" t="s">
        <v>497</v>
      </c>
      <c r="B1" s="202"/>
      <c r="C1" s="202"/>
      <c r="D1" s="202"/>
      <c r="E1" s="202"/>
      <c r="F1" s="202"/>
      <c r="G1" s="202"/>
      <c r="H1" s="202"/>
      <c r="I1" s="202"/>
      <c r="J1" s="202"/>
      <c r="K1" s="202"/>
      <c r="L1" s="202"/>
      <c r="M1" s="202"/>
      <c r="N1" s="202"/>
      <c r="O1" s="202"/>
      <c r="P1" s="202"/>
    </row>
    <row r="2" spans="1:16" x14ac:dyDescent="0.35">
      <c r="A2" s="152" t="s">
        <v>94</v>
      </c>
      <c r="E2" s="92" t="s">
        <v>498</v>
      </c>
      <c r="F2" s="92">
        <f>(B3+B4)*1.1/(B28*B30)</f>
        <v>290.00000000000006</v>
      </c>
      <c r="G2" s="92" t="s">
        <v>499</v>
      </c>
      <c r="I2" s="152" t="s">
        <v>500</v>
      </c>
      <c r="J2" s="92" t="s">
        <v>501</v>
      </c>
      <c r="L2" s="92" t="s">
        <v>502</v>
      </c>
    </row>
    <row r="3" spans="1:16" x14ac:dyDescent="0.35">
      <c r="A3" s="92" t="s">
        <v>503</v>
      </c>
      <c r="B3" s="92">
        <v>1382</v>
      </c>
      <c r="C3" s="92" t="s">
        <v>3</v>
      </c>
      <c r="E3" s="92" t="s">
        <v>175</v>
      </c>
      <c r="F3" s="153" t="str">
        <f>IF(F2&gt;B6,"UNSAFE","SAFE")</f>
        <v>SAFE</v>
      </c>
      <c r="I3" s="92" t="s">
        <v>504</v>
      </c>
      <c r="J3" s="92">
        <f>C12+F21/1000</f>
        <v>1.1059999999999999</v>
      </c>
      <c r="K3" s="92" t="s">
        <v>238</v>
      </c>
      <c r="L3" s="92">
        <f>B12+F21/1000</f>
        <v>1.256</v>
      </c>
      <c r="M3" s="92" t="s">
        <v>9</v>
      </c>
    </row>
    <row r="4" spans="1:16" x14ac:dyDescent="0.35">
      <c r="A4" s="92" t="s">
        <v>505</v>
      </c>
      <c r="B4" s="92">
        <v>1286</v>
      </c>
      <c r="C4" s="92" t="s">
        <v>3</v>
      </c>
      <c r="E4" s="92" t="s">
        <v>506</v>
      </c>
      <c r="F4" s="92">
        <f>(B3+B4)/(B28*B30)*1.5</f>
        <v>395.4545454545455</v>
      </c>
      <c r="G4" s="92" t="s">
        <v>499</v>
      </c>
      <c r="I4" s="92" t="s">
        <v>507</v>
      </c>
      <c r="J4" s="92">
        <f>C16+F21/1000</f>
        <v>1.1059999999999999</v>
      </c>
      <c r="K4" s="92" t="s">
        <v>238</v>
      </c>
      <c r="L4" s="92">
        <f>B12+F21/1000</f>
        <v>1.256</v>
      </c>
      <c r="M4" s="92" t="s">
        <v>9</v>
      </c>
    </row>
    <row r="5" spans="1:16" x14ac:dyDescent="0.35">
      <c r="A5" s="92" t="s">
        <v>508</v>
      </c>
      <c r="B5" s="92">
        <v>2.23</v>
      </c>
      <c r="C5" s="92" t="s">
        <v>9</v>
      </c>
      <c r="E5" s="152" t="s">
        <v>509</v>
      </c>
      <c r="I5" s="92" t="s">
        <v>510</v>
      </c>
    </row>
    <row r="6" spans="1:16" x14ac:dyDescent="0.35">
      <c r="A6" s="92" t="s">
        <v>84</v>
      </c>
      <c r="B6" s="92">
        <v>300</v>
      </c>
      <c r="C6" s="92" t="s">
        <v>499</v>
      </c>
      <c r="E6" s="92" t="s">
        <v>503</v>
      </c>
      <c r="F6" s="92">
        <f>B3*1.5</f>
        <v>2073</v>
      </c>
      <c r="G6" s="92" t="s">
        <v>3</v>
      </c>
      <c r="I6" s="92" t="s">
        <v>511</v>
      </c>
      <c r="J6" s="92">
        <f>F6-(J3*L3)*F4</f>
        <v>1523.6598545454544</v>
      </c>
      <c r="K6" s="92" t="s">
        <v>3</v>
      </c>
    </row>
    <row r="7" spans="1:16" x14ac:dyDescent="0.35">
      <c r="A7" s="92" t="s">
        <v>176</v>
      </c>
      <c r="B7" s="92">
        <v>500</v>
      </c>
      <c r="C7" s="92" t="s">
        <v>15</v>
      </c>
      <c r="E7" s="92" t="s">
        <v>505</v>
      </c>
      <c r="F7" s="92">
        <f>B4*1.5</f>
        <v>1929</v>
      </c>
      <c r="G7" s="92" t="s">
        <v>3</v>
      </c>
      <c r="I7" s="92" t="s">
        <v>512</v>
      </c>
      <c r="J7" s="92">
        <f>J6/((L3+J3)*2*F21)</f>
        <v>0.63742283727591276</v>
      </c>
    </row>
    <row r="8" spans="1:16" x14ac:dyDescent="0.35">
      <c r="A8" s="92" t="s">
        <v>173</v>
      </c>
      <c r="B8" s="92">
        <v>30</v>
      </c>
      <c r="C8" s="92" t="s">
        <v>15</v>
      </c>
      <c r="E8" s="92" t="s">
        <v>513</v>
      </c>
      <c r="F8" s="92">
        <f>B30*F4</f>
        <v>909.54545454545462</v>
      </c>
      <c r="G8" s="92" t="s">
        <v>150</v>
      </c>
      <c r="I8" s="92" t="s">
        <v>514</v>
      </c>
      <c r="J8" s="92">
        <f>0.25*SQRT(B8)</f>
        <v>1.3693063937629153</v>
      </c>
    </row>
    <row r="9" spans="1:16" x14ac:dyDescent="0.35">
      <c r="A9" s="92" t="s">
        <v>515</v>
      </c>
      <c r="J9" s="153" t="str">
        <f>IF(J7&gt;J8,"UNSAFE","SAFE")</f>
        <v>SAFE</v>
      </c>
    </row>
    <row r="10" spans="1:16" x14ac:dyDescent="0.35">
      <c r="A10" s="92" t="s">
        <v>516</v>
      </c>
      <c r="E10" s="152" t="s">
        <v>517</v>
      </c>
      <c r="I10" s="92" t="s">
        <v>518</v>
      </c>
    </row>
    <row r="11" spans="1:16" x14ac:dyDescent="0.35">
      <c r="A11" s="92" t="s">
        <v>519</v>
      </c>
      <c r="B11" s="92" t="s">
        <v>520</v>
      </c>
      <c r="C11" s="92" t="s">
        <v>521</v>
      </c>
      <c r="E11" s="92" t="s">
        <v>522</v>
      </c>
      <c r="F11" s="92">
        <f>F6-F8*(B28/2-B23)</f>
        <v>1049.6522727272725</v>
      </c>
      <c r="G11" s="92" t="s">
        <v>3</v>
      </c>
      <c r="I11" s="92" t="s">
        <v>511</v>
      </c>
      <c r="J11" s="92">
        <f>F7-((J4+L4)*F4)</f>
        <v>994.93636363636347</v>
      </c>
    </row>
    <row r="12" spans="1:16" x14ac:dyDescent="0.35">
      <c r="B12" s="92">
        <v>0.75</v>
      </c>
      <c r="C12" s="92">
        <v>0.6</v>
      </c>
      <c r="E12" s="92" t="s">
        <v>523</v>
      </c>
      <c r="F12" s="92">
        <f>F7-F8*(B28/2-B24)</f>
        <v>978.63409090909067</v>
      </c>
      <c r="G12" s="92" t="s">
        <v>3</v>
      </c>
      <c r="I12" s="92" t="s">
        <v>512</v>
      </c>
      <c r="J12" s="92">
        <f>J11/((J4+L4)*2*F21)</f>
        <v>0.41623145607342016</v>
      </c>
    </row>
    <row r="13" spans="1:16" x14ac:dyDescent="0.35">
      <c r="A13" s="92" t="s">
        <v>177</v>
      </c>
      <c r="B13" s="92">
        <v>20</v>
      </c>
      <c r="C13" s="92" t="s">
        <v>8</v>
      </c>
      <c r="E13" s="92" t="s">
        <v>524</v>
      </c>
      <c r="F13" s="92">
        <f>F11*B5/(F11+F12)</f>
        <v>1.15404047976012</v>
      </c>
      <c r="G13" s="92" t="s">
        <v>9</v>
      </c>
      <c r="I13" s="92" t="s">
        <v>514</v>
      </c>
      <c r="J13" s="92">
        <f>0.25*SQRT(B8)</f>
        <v>1.3693063937629153</v>
      </c>
    </row>
    <row r="14" spans="1:16" x14ac:dyDescent="0.35">
      <c r="A14" s="92" t="s">
        <v>525</v>
      </c>
      <c r="B14" s="92">
        <v>4</v>
      </c>
      <c r="J14" s="153" t="str">
        <f>IF(J12&gt;J13,"UNSAFE","SAFE")</f>
        <v>SAFE</v>
      </c>
    </row>
    <row r="15" spans="1:16" x14ac:dyDescent="0.35">
      <c r="A15" s="92" t="s">
        <v>519</v>
      </c>
      <c r="B15" s="92" t="s">
        <v>520</v>
      </c>
      <c r="C15" s="92" t="s">
        <v>521</v>
      </c>
      <c r="E15" s="152" t="s">
        <v>526</v>
      </c>
    </row>
    <row r="16" spans="1:16" x14ac:dyDescent="0.35">
      <c r="B16" s="92">
        <v>0.75</v>
      </c>
      <c r="C16" s="92">
        <v>0.6</v>
      </c>
      <c r="E16" s="92" t="s">
        <v>527</v>
      </c>
      <c r="F16" s="92">
        <v>0.25</v>
      </c>
      <c r="G16" s="92" t="s">
        <v>169</v>
      </c>
      <c r="I16" s="92" t="s">
        <v>528</v>
      </c>
    </row>
    <row r="17" spans="1:11" x14ac:dyDescent="0.35">
      <c r="A17" s="92" t="s">
        <v>177</v>
      </c>
      <c r="B17" s="92">
        <v>28</v>
      </c>
      <c r="C17" s="92" t="s">
        <v>8</v>
      </c>
      <c r="E17" s="92" t="s">
        <v>529</v>
      </c>
      <c r="F17" s="92">
        <v>0.37</v>
      </c>
      <c r="G17" s="92" t="s">
        <v>15</v>
      </c>
      <c r="I17" s="92" t="s">
        <v>530</v>
      </c>
      <c r="J17" s="92">
        <f>(B30-B12)/2</f>
        <v>0.77499999999999991</v>
      </c>
      <c r="K17" s="92" t="s">
        <v>9</v>
      </c>
    </row>
    <row r="18" spans="1:11" x14ac:dyDescent="0.35">
      <c r="A18" s="92" t="s">
        <v>525</v>
      </c>
      <c r="B18" s="92">
        <v>4</v>
      </c>
      <c r="E18" s="92" t="s">
        <v>140</v>
      </c>
      <c r="F18" s="154">
        <f>(SQRT(F24*10^6/(B8*B30*1000*0.138))*2)/1000</f>
        <v>0.4980501156454476</v>
      </c>
      <c r="G18" s="92" t="s">
        <v>9</v>
      </c>
      <c r="H18" s="92">
        <f>F12*(F13-C16/2)/(F13*F17*1000*B30*(1+F12/(F13*F17*1000*B30)))</f>
        <v>0.42626792511756256</v>
      </c>
    </row>
    <row r="19" spans="1:11" x14ac:dyDescent="0.35">
      <c r="A19" s="92" t="s">
        <v>531</v>
      </c>
      <c r="B19" s="92">
        <f>(B3+B4)*1.1/B6</f>
        <v>9.7826666666666675</v>
      </c>
      <c r="C19" s="92" t="s">
        <v>532</v>
      </c>
      <c r="E19" s="92" t="s">
        <v>25</v>
      </c>
      <c r="F19" s="92">
        <f>F18*1000+50+B17/2</f>
        <v>562.05011564544759</v>
      </c>
      <c r="G19" s="92" t="s">
        <v>8</v>
      </c>
    </row>
    <row r="20" spans="1:11" x14ac:dyDescent="0.35">
      <c r="E20" s="92" t="s">
        <v>533</v>
      </c>
      <c r="F20" s="92">
        <f>ROUNDUP(F19,-1)</f>
        <v>570</v>
      </c>
      <c r="G20" s="92" t="s">
        <v>8</v>
      </c>
    </row>
    <row r="21" spans="1:11" x14ac:dyDescent="0.35">
      <c r="A21" s="152" t="s">
        <v>534</v>
      </c>
      <c r="E21" s="92" t="s">
        <v>535</v>
      </c>
      <c r="F21" s="92">
        <f>F20-B17/2-50</f>
        <v>506</v>
      </c>
      <c r="G21" s="92" t="s">
        <v>8</v>
      </c>
    </row>
    <row r="22" spans="1:11" x14ac:dyDescent="0.35">
      <c r="A22" s="92" t="s">
        <v>536</v>
      </c>
      <c r="G22" s="92" t="s">
        <v>537</v>
      </c>
      <c r="H22" s="92">
        <f>F11*(B26-B23)*0.5</f>
        <v>590.49235107162326</v>
      </c>
    </row>
    <row r="23" spans="1:11" x14ac:dyDescent="0.35">
      <c r="A23" s="92" t="s">
        <v>538</v>
      </c>
      <c r="B23" s="92">
        <f>B4*B5/(B3+B4)</f>
        <v>1.074880059970015</v>
      </c>
      <c r="C23" s="92" t="s">
        <v>9</v>
      </c>
      <c r="E23" s="152" t="s">
        <v>539</v>
      </c>
      <c r="G23" s="92" t="s">
        <v>540</v>
      </c>
      <c r="H23" s="92">
        <f>F12*(B28/2-B24)*0.5</f>
        <v>511.277623798896</v>
      </c>
    </row>
    <row r="24" spans="1:11" x14ac:dyDescent="0.35">
      <c r="A24" s="92" t="s">
        <v>541</v>
      </c>
      <c r="B24" s="92">
        <f>B3*B5/(B3+B4)</f>
        <v>1.155119940029985</v>
      </c>
      <c r="C24" s="92" t="s">
        <v>9</v>
      </c>
      <c r="E24" s="92" t="s">
        <v>39</v>
      </c>
      <c r="F24" s="92">
        <f>H22</f>
        <v>590.49235107162326</v>
      </c>
      <c r="G24" s="92" t="s">
        <v>228</v>
      </c>
      <c r="H24" s="92">
        <f>F7*F13-(F13+B26-B24)*F8*(F13+B26-B24)/2</f>
        <v>27.203555540411344</v>
      </c>
    </row>
    <row r="25" spans="1:11" x14ac:dyDescent="0.35">
      <c r="A25" s="92" t="s">
        <v>542</v>
      </c>
      <c r="B25" s="92">
        <v>1</v>
      </c>
      <c r="C25" s="92" t="s">
        <v>9</v>
      </c>
      <c r="E25" s="92" t="s">
        <v>457</v>
      </c>
      <c r="F25" s="92">
        <f>F24*10^6/(B30*1000*F21^2)</f>
        <v>1.0027332281934931</v>
      </c>
    </row>
    <row r="26" spans="1:11" x14ac:dyDescent="0.35">
      <c r="A26" s="92" t="s">
        <v>543</v>
      </c>
      <c r="B26" s="92">
        <f>B28/2</f>
        <v>2.2000000000000002</v>
      </c>
      <c r="C26" s="92" t="s">
        <v>9</v>
      </c>
      <c r="E26" s="92" t="s">
        <v>544</v>
      </c>
      <c r="F26" s="92">
        <f>0.5*B8/B7*(1-SQRT(1-(4.598*F25)/B8))*1000*F21</f>
        <v>1215.1060482368348</v>
      </c>
      <c r="G26" s="92" t="s">
        <v>272</v>
      </c>
    </row>
    <row r="27" spans="1:11" x14ac:dyDescent="0.35">
      <c r="A27" s="92" t="s">
        <v>545</v>
      </c>
      <c r="B27" s="92">
        <f>2*B26</f>
        <v>4.4000000000000004</v>
      </c>
      <c r="C27" s="92" t="s">
        <v>9</v>
      </c>
    </row>
    <row r="28" spans="1:11" x14ac:dyDescent="0.35">
      <c r="A28" s="92" t="s">
        <v>546</v>
      </c>
      <c r="B28" s="92">
        <v>4.4000000000000004</v>
      </c>
      <c r="C28" s="92" t="s">
        <v>9</v>
      </c>
      <c r="E28" s="92" t="s">
        <v>547</v>
      </c>
      <c r="F28" s="92">
        <f>F16*1000*F21/100</f>
        <v>1265</v>
      </c>
      <c r="G28" s="92" t="s">
        <v>272</v>
      </c>
      <c r="H28" s="153" t="str">
        <f>IF(F28&gt;F26,"SAFE","UNSAFE")</f>
        <v>SAFE</v>
      </c>
    </row>
    <row r="29" spans="1:11" x14ac:dyDescent="0.35">
      <c r="A29" s="92" t="s">
        <v>548</v>
      </c>
      <c r="B29" s="92">
        <f>B19/B28</f>
        <v>2.2233333333333332</v>
      </c>
      <c r="C29" s="92" t="s">
        <v>9</v>
      </c>
    </row>
    <row r="30" spans="1:11" x14ac:dyDescent="0.35">
      <c r="A30" s="92" t="s">
        <v>549</v>
      </c>
      <c r="B30" s="92">
        <v>2.2999999999999998</v>
      </c>
      <c r="C30" s="92" t="s">
        <v>9</v>
      </c>
    </row>
  </sheetData>
  <mergeCells count="1">
    <mergeCell ref="A1:P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5CF81-34C6-4B60-AF59-6AF53E13C51F}">
  <dimension ref="A1:Q30"/>
  <sheetViews>
    <sheetView topLeftCell="A4" workbookViewId="0">
      <selection activeCell="I20" sqref="I20"/>
    </sheetView>
  </sheetViews>
  <sheetFormatPr defaultColWidth="8.90625" defaultRowHeight="14" x14ac:dyDescent="0.35"/>
  <cols>
    <col min="1" max="1" width="28.08984375" style="92" bestFit="1" customWidth="1"/>
    <col min="2" max="2" width="17.90625" style="92" bestFit="1" customWidth="1"/>
    <col min="3" max="4" width="8.90625" style="92"/>
    <col min="5" max="5" width="34.6328125" style="92" bestFit="1" customWidth="1"/>
    <col min="6" max="6" width="20.08984375" style="92" bestFit="1" customWidth="1"/>
    <col min="7" max="7" width="8.90625" style="92"/>
    <col min="8" max="8" width="14.6328125" style="92" bestFit="1" customWidth="1"/>
    <col min="9" max="16384" width="8.90625" style="92"/>
  </cols>
  <sheetData>
    <row r="1" spans="1:17" x14ac:dyDescent="0.35">
      <c r="A1" s="224" t="s">
        <v>550</v>
      </c>
      <c r="B1" s="225"/>
      <c r="C1" s="225"/>
      <c r="D1" s="225"/>
      <c r="E1" s="225"/>
      <c r="F1" s="225"/>
      <c r="G1" s="225"/>
      <c r="H1" s="225"/>
      <c r="I1" s="225"/>
      <c r="J1" s="226"/>
      <c r="K1" s="155"/>
      <c r="L1" s="155"/>
      <c r="M1" s="155"/>
      <c r="N1" s="155"/>
      <c r="O1" s="155"/>
      <c r="P1" s="155"/>
    </row>
    <row r="2" spans="1:17" x14ac:dyDescent="0.35">
      <c r="A2" s="203" t="s">
        <v>94</v>
      </c>
      <c r="B2" s="203"/>
      <c r="C2" s="203"/>
      <c r="E2" s="96" t="s">
        <v>551</v>
      </c>
      <c r="F2" s="96">
        <f>MIN(B29,B25)</f>
        <v>45.249480937575413</v>
      </c>
      <c r="G2" s="96" t="s">
        <v>3</v>
      </c>
      <c r="J2" s="156"/>
    </row>
    <row r="3" spans="1:17" x14ac:dyDescent="0.35">
      <c r="A3" s="94" t="s">
        <v>552</v>
      </c>
      <c r="B3" s="94">
        <v>150</v>
      </c>
      <c r="C3" s="94" t="s">
        <v>3</v>
      </c>
      <c r="J3" s="156"/>
    </row>
    <row r="4" spans="1:17" x14ac:dyDescent="0.35">
      <c r="A4" s="94" t="s">
        <v>553</v>
      </c>
      <c r="B4" s="94">
        <v>100</v>
      </c>
      <c r="C4" s="94" t="s">
        <v>8</v>
      </c>
      <c r="E4" s="94" t="s">
        <v>554</v>
      </c>
      <c r="F4" s="94">
        <f>B3*(B4/1000+B15/2000)</f>
        <v>33.75</v>
      </c>
      <c r="G4" s="94" t="s">
        <v>228</v>
      </c>
      <c r="J4" s="156"/>
    </row>
    <row r="5" spans="1:17" x14ac:dyDescent="0.35">
      <c r="A5" s="94" t="s">
        <v>555</v>
      </c>
      <c r="B5" s="94">
        <v>12</v>
      </c>
      <c r="C5" s="94" t="s">
        <v>8</v>
      </c>
      <c r="E5" s="94" t="s">
        <v>556</v>
      </c>
      <c r="F5" s="94">
        <v>2</v>
      </c>
      <c r="G5" s="94"/>
      <c r="J5" s="156"/>
    </row>
    <row r="6" spans="1:17" x14ac:dyDescent="0.35">
      <c r="A6" s="157"/>
      <c r="E6" s="94" t="s">
        <v>557</v>
      </c>
      <c r="F6" s="94">
        <f>SQRT(6*F4*10^6/(F5*B18*F2*1000))</f>
        <v>6.1068195871589825</v>
      </c>
      <c r="G6" s="94"/>
      <c r="J6" s="156"/>
    </row>
    <row r="7" spans="1:17" x14ac:dyDescent="0.35">
      <c r="A7" s="94" t="s">
        <v>558</v>
      </c>
      <c r="B7" s="94">
        <v>4.5999999999999996</v>
      </c>
      <c r="C7" s="94"/>
      <c r="E7" s="94" t="s">
        <v>559</v>
      </c>
      <c r="F7" s="94">
        <v>7</v>
      </c>
      <c r="G7" s="94"/>
      <c r="J7" s="156"/>
    </row>
    <row r="8" spans="1:17" x14ac:dyDescent="0.35">
      <c r="A8" s="94" t="s">
        <v>560</v>
      </c>
      <c r="B8" s="94">
        <v>400</v>
      </c>
      <c r="C8" s="94" t="s">
        <v>15</v>
      </c>
      <c r="J8" s="156"/>
    </row>
    <row r="9" spans="1:17" x14ac:dyDescent="0.35">
      <c r="A9" s="94" t="s">
        <v>561</v>
      </c>
      <c r="B9" s="94">
        <v>410</v>
      </c>
      <c r="C9" s="94" t="s">
        <v>15</v>
      </c>
      <c r="E9" s="94" t="s">
        <v>562</v>
      </c>
      <c r="F9" s="94"/>
      <c r="G9" s="94"/>
      <c r="J9" s="156"/>
    </row>
    <row r="10" spans="1:17" x14ac:dyDescent="0.35">
      <c r="A10" s="94" t="s">
        <v>563</v>
      </c>
      <c r="B10" s="94">
        <v>20</v>
      </c>
      <c r="C10" s="94" t="s">
        <v>8</v>
      </c>
      <c r="E10" s="94" t="s">
        <v>564</v>
      </c>
      <c r="F10" s="94">
        <f>B15-65*2</f>
        <v>120</v>
      </c>
      <c r="G10" s="94" t="s">
        <v>8</v>
      </c>
      <c r="H10" s="94" t="s">
        <v>565</v>
      </c>
      <c r="I10" s="94">
        <v>60</v>
      </c>
      <c r="J10" s="156"/>
    </row>
    <row r="11" spans="1:17" x14ac:dyDescent="0.35">
      <c r="A11" s="94" t="s">
        <v>566</v>
      </c>
      <c r="B11" s="94">
        <v>22</v>
      </c>
      <c r="C11" s="94" t="s">
        <v>8</v>
      </c>
      <c r="E11" s="94" t="s">
        <v>567</v>
      </c>
      <c r="F11" s="94">
        <f>B18</f>
        <v>60</v>
      </c>
      <c r="G11" s="94" t="s">
        <v>8</v>
      </c>
      <c r="J11" s="156"/>
    </row>
    <row r="12" spans="1:17" x14ac:dyDescent="0.35">
      <c r="A12" s="157"/>
      <c r="E12" s="94" t="s">
        <v>568</v>
      </c>
      <c r="F12" s="94">
        <f>F10/2</f>
        <v>60</v>
      </c>
      <c r="G12" s="94" t="s">
        <v>8</v>
      </c>
      <c r="J12" s="156"/>
      <c r="P12" s="158">
        <f>B3</f>
        <v>150</v>
      </c>
      <c r="Q12" s="92" t="s">
        <v>3</v>
      </c>
    </row>
    <row r="13" spans="1:17" x14ac:dyDescent="0.35">
      <c r="A13" s="93" t="s">
        <v>569</v>
      </c>
      <c r="B13" s="99" t="s">
        <v>570</v>
      </c>
      <c r="C13" s="94"/>
      <c r="E13" s="94" t="s">
        <v>571</v>
      </c>
      <c r="F13" s="94">
        <f>4*((F12^2+F11^2)+((2*F11)^2+F12^2)+((3*F11)^2+F12^2))+2*(F12^2+0)</f>
        <v>252000</v>
      </c>
      <c r="G13" s="94"/>
      <c r="J13" s="156"/>
    </row>
    <row r="14" spans="1:17" x14ac:dyDescent="0.35">
      <c r="A14" s="94" t="s">
        <v>572</v>
      </c>
      <c r="B14" s="94"/>
      <c r="C14" s="94"/>
      <c r="E14" s="94" t="s">
        <v>573</v>
      </c>
      <c r="F14" s="94">
        <f>SQRT(F12^2+(3*F11)^2)</f>
        <v>189.73665961010275</v>
      </c>
      <c r="G14" s="94" t="s">
        <v>8</v>
      </c>
      <c r="J14" s="156"/>
    </row>
    <row r="15" spans="1:17" x14ac:dyDescent="0.35">
      <c r="A15" s="94" t="s">
        <v>574</v>
      </c>
      <c r="B15" s="94">
        <v>250</v>
      </c>
      <c r="C15" s="94" t="s">
        <v>8</v>
      </c>
      <c r="J15" s="156"/>
      <c r="N15" s="92">
        <f>B4+B15/2</f>
        <v>225</v>
      </c>
      <c r="O15" s="92" t="s">
        <v>8</v>
      </c>
    </row>
    <row r="16" spans="1:17" x14ac:dyDescent="0.35">
      <c r="A16" s="94" t="s">
        <v>575</v>
      </c>
      <c r="B16" s="94">
        <v>10.6</v>
      </c>
      <c r="C16" s="94" t="s">
        <v>8</v>
      </c>
      <c r="E16" s="94" t="s">
        <v>576</v>
      </c>
      <c r="F16" s="94">
        <f>F4*F14*1000/F13</f>
        <v>25.41115976921019</v>
      </c>
      <c r="G16" s="94" t="s">
        <v>3</v>
      </c>
      <c r="J16" s="156"/>
    </row>
    <row r="17" spans="1:10" x14ac:dyDescent="0.35">
      <c r="A17" s="94" t="s">
        <v>577</v>
      </c>
      <c r="B17" s="94">
        <f>2.5*B10</f>
        <v>50</v>
      </c>
      <c r="C17" s="94" t="s">
        <v>8</v>
      </c>
      <c r="E17" s="94" t="s">
        <v>578</v>
      </c>
      <c r="F17" s="94">
        <v>71</v>
      </c>
      <c r="G17" s="94" t="s">
        <v>579</v>
      </c>
      <c r="J17" s="156"/>
    </row>
    <row r="18" spans="1:10" x14ac:dyDescent="0.35">
      <c r="A18" s="94" t="s">
        <v>580</v>
      </c>
      <c r="B18" s="94">
        <v>60</v>
      </c>
      <c r="C18" s="94" t="s">
        <v>8</v>
      </c>
      <c r="E18" s="94" t="s">
        <v>581</v>
      </c>
      <c r="F18" s="94">
        <f>F16*SIN(F17*3.14/180)</f>
        <v>24.021521598974147</v>
      </c>
      <c r="G18" s="94" t="s">
        <v>3</v>
      </c>
      <c r="J18" s="156"/>
    </row>
    <row r="19" spans="1:10" x14ac:dyDescent="0.35">
      <c r="A19" s="94" t="s">
        <v>582</v>
      </c>
      <c r="B19" s="94">
        <f>1.5*B11</f>
        <v>33</v>
      </c>
      <c r="C19" s="94" t="s">
        <v>8</v>
      </c>
      <c r="E19" s="94" t="s">
        <v>583</v>
      </c>
      <c r="F19" s="94">
        <f>F16*COS(F17*3.14/180)</f>
        <v>8.2881566639600273</v>
      </c>
      <c r="G19" s="94" t="s">
        <v>3</v>
      </c>
      <c r="J19" s="156"/>
    </row>
    <row r="20" spans="1:10" x14ac:dyDescent="0.35">
      <c r="A20" s="94" t="s">
        <v>584</v>
      </c>
      <c r="B20" s="94">
        <v>40</v>
      </c>
      <c r="C20" s="94" t="s">
        <v>8</v>
      </c>
      <c r="J20" s="156"/>
    </row>
    <row r="21" spans="1:10" x14ac:dyDescent="0.35">
      <c r="A21" s="157"/>
      <c r="E21" s="94" t="s">
        <v>585</v>
      </c>
      <c r="F21" s="94">
        <f>B3/(F7*2)</f>
        <v>10.714285714285714</v>
      </c>
      <c r="G21" s="94" t="s">
        <v>3</v>
      </c>
      <c r="J21" s="156"/>
    </row>
    <row r="22" spans="1:10" x14ac:dyDescent="0.35">
      <c r="A22" s="203" t="s">
        <v>586</v>
      </c>
      <c r="B22" s="203"/>
      <c r="C22" s="203"/>
      <c r="E22" s="94" t="s">
        <v>587</v>
      </c>
      <c r="F22" s="94">
        <f>F21+F19</f>
        <v>19.002442378245739</v>
      </c>
      <c r="G22" s="94" t="s">
        <v>3</v>
      </c>
      <c r="J22" s="156"/>
    </row>
    <row r="23" spans="1:10" x14ac:dyDescent="0.35">
      <c r="A23" s="94" t="s">
        <v>588</v>
      </c>
      <c r="B23" s="94" t="s">
        <v>589</v>
      </c>
      <c r="C23" s="94"/>
      <c r="E23" s="94" t="s">
        <v>590</v>
      </c>
      <c r="F23" s="94">
        <f>SQRT(F22^2+F18^2+2*F22*F18*COS(F17*3.14/180))</f>
        <v>35.155243488866986</v>
      </c>
      <c r="G23" s="94" t="s">
        <v>3</v>
      </c>
      <c r="J23" s="156"/>
    </row>
    <row r="24" spans="1:10" x14ac:dyDescent="0.35">
      <c r="A24" s="94" t="s">
        <v>591</v>
      </c>
      <c r="B24" s="94">
        <f>(B8/SQRT(3)*(1*0.78*3.14*0.25*B10^2))/10^3</f>
        <v>56.561851171969266</v>
      </c>
      <c r="C24" s="94" t="s">
        <v>3</v>
      </c>
      <c r="E24" s="94" t="s">
        <v>175</v>
      </c>
      <c r="F24" s="97" t="str">
        <f>IF(F23&gt;F2,"UNSAFE &amp; NOT OKAY","SAFE &amp; OKAY")</f>
        <v>SAFE &amp; OKAY</v>
      </c>
      <c r="G24" s="94"/>
      <c r="J24" s="156"/>
    </row>
    <row r="25" spans="1:10" ht="14.5" thickBot="1" x14ac:dyDescent="0.4">
      <c r="A25" s="94" t="s">
        <v>592</v>
      </c>
      <c r="B25" s="94">
        <f>B24/1.25</f>
        <v>45.249480937575413</v>
      </c>
      <c r="C25" s="94" t="s">
        <v>3</v>
      </c>
      <c r="J25" s="156"/>
    </row>
    <row r="26" spans="1:10" x14ac:dyDescent="0.35">
      <c r="A26" s="94" t="s">
        <v>593</v>
      </c>
      <c r="B26" s="94"/>
      <c r="C26" s="94"/>
      <c r="E26" s="159" t="s">
        <v>99</v>
      </c>
      <c r="F26" s="160"/>
      <c r="G26" s="161"/>
      <c r="J26" s="156"/>
    </row>
    <row r="27" spans="1:10" x14ac:dyDescent="0.35">
      <c r="A27" s="94" t="s">
        <v>594</v>
      </c>
      <c r="B27" s="94">
        <f>MIN(B16,B5)</f>
        <v>10.6</v>
      </c>
      <c r="C27" s="94" t="s">
        <v>8</v>
      </c>
      <c r="E27" s="162" t="s">
        <v>595</v>
      </c>
      <c r="F27" s="163">
        <f>B3</f>
        <v>150</v>
      </c>
      <c r="G27" s="164" t="s">
        <v>3</v>
      </c>
      <c r="J27" s="156"/>
    </row>
    <row r="28" spans="1:10" x14ac:dyDescent="0.35">
      <c r="A28" s="94" t="s">
        <v>596</v>
      </c>
      <c r="B28" s="94">
        <f>MIN(B20/(3*B11),B18/(3*B11)-0.25,B9/B8,1)</f>
        <v>0.60606060606060608</v>
      </c>
      <c r="C28" s="94"/>
      <c r="E28" s="162" t="s">
        <v>597</v>
      </c>
      <c r="F28" s="163">
        <f>B7</f>
        <v>4.5999999999999996</v>
      </c>
      <c r="G28" s="164"/>
      <c r="J28" s="156"/>
    </row>
    <row r="29" spans="1:10" x14ac:dyDescent="0.35">
      <c r="A29" s="94" t="s">
        <v>598</v>
      </c>
      <c r="B29" s="94">
        <f>(2.5*B28*B10*B16*B9)/(1.25*1000)</f>
        <v>105.35757575757576</v>
      </c>
      <c r="C29" s="94" t="s">
        <v>3</v>
      </c>
      <c r="E29" s="162" t="s">
        <v>569</v>
      </c>
      <c r="F29" s="163" t="str">
        <f>B13</f>
        <v>ISHB 300@619N/M</v>
      </c>
      <c r="G29" s="164"/>
      <c r="J29" s="156"/>
    </row>
    <row r="30" spans="1:10" ht="14.5" thickBot="1" x14ac:dyDescent="0.4">
      <c r="A30" s="165"/>
      <c r="B30" s="166"/>
      <c r="C30" s="166"/>
      <c r="D30" s="166"/>
      <c r="E30" s="167" t="s">
        <v>551</v>
      </c>
      <c r="F30" s="168">
        <f>F2</f>
        <v>45.249480937575413</v>
      </c>
      <c r="G30" s="169" t="s">
        <v>3</v>
      </c>
      <c r="H30" s="166"/>
      <c r="I30" s="166"/>
      <c r="J30" s="170"/>
    </row>
  </sheetData>
  <mergeCells count="3">
    <mergeCell ref="A1:J1"/>
    <mergeCell ref="A2:C2"/>
    <mergeCell ref="A22:C2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05FF2-2D0C-4D3E-82B7-8C8BAB91CFCE}">
  <dimension ref="A1:P34"/>
  <sheetViews>
    <sheetView tabSelected="1" workbookViewId="0">
      <selection activeCell="B3" sqref="B3"/>
    </sheetView>
  </sheetViews>
  <sheetFormatPr defaultColWidth="8.90625" defaultRowHeight="14" x14ac:dyDescent="0.35"/>
  <cols>
    <col min="1" max="1" width="32" style="92" bestFit="1" customWidth="1"/>
    <col min="2" max="2" width="18.36328125" style="92" customWidth="1"/>
    <col min="3" max="4" width="8.90625" style="92"/>
    <col min="5" max="5" width="33.36328125" style="92" bestFit="1" customWidth="1"/>
    <col min="6" max="6" width="18.6328125" style="92" bestFit="1" customWidth="1"/>
    <col min="7" max="8" width="8.90625" style="92"/>
    <col min="9" max="9" width="32.08984375" style="92" bestFit="1" customWidth="1"/>
    <col min="10" max="10" width="14.6328125" style="92" bestFit="1" customWidth="1"/>
    <col min="11" max="11" width="7.08984375" style="92" bestFit="1" customWidth="1"/>
    <col min="12" max="16384" width="8.90625" style="92"/>
  </cols>
  <sheetData>
    <row r="1" spans="1:16" x14ac:dyDescent="0.35">
      <c r="A1" s="227" t="s">
        <v>599</v>
      </c>
      <c r="B1" s="228"/>
      <c r="C1" s="228"/>
      <c r="D1" s="228"/>
      <c r="E1" s="228"/>
      <c r="F1" s="228"/>
      <c r="G1" s="228"/>
      <c r="H1" s="229"/>
      <c r="I1" s="171"/>
      <c r="J1" s="171"/>
      <c r="K1" s="155"/>
      <c r="L1" s="155"/>
      <c r="M1" s="155"/>
      <c r="N1" s="155"/>
      <c r="O1" s="155"/>
      <c r="P1" s="155"/>
    </row>
    <row r="2" spans="1:16" x14ac:dyDescent="0.35">
      <c r="A2" s="230" t="s">
        <v>94</v>
      </c>
      <c r="B2" s="203"/>
      <c r="C2" s="203"/>
      <c r="E2" s="96" t="s">
        <v>551</v>
      </c>
      <c r="F2" s="96">
        <f>MIN(B29,B25,B31)</f>
        <v>65.159252550108604</v>
      </c>
      <c r="G2" s="96" t="s">
        <v>3</v>
      </c>
      <c r="H2" s="156"/>
    </row>
    <row r="3" spans="1:16" x14ac:dyDescent="0.35">
      <c r="A3" s="173" t="s">
        <v>552</v>
      </c>
      <c r="B3" s="174">
        <v>200</v>
      </c>
      <c r="C3" s="174" t="s">
        <v>3</v>
      </c>
      <c r="H3" s="156"/>
    </row>
    <row r="4" spans="1:16" x14ac:dyDescent="0.35">
      <c r="A4" s="173" t="s">
        <v>553</v>
      </c>
      <c r="B4" s="174">
        <v>250</v>
      </c>
      <c r="C4" s="174" t="s">
        <v>8</v>
      </c>
      <c r="E4" s="94" t="s">
        <v>554</v>
      </c>
      <c r="F4" s="94">
        <f>B3*(B4/1000)</f>
        <v>50</v>
      </c>
      <c r="G4" s="94" t="s">
        <v>228</v>
      </c>
      <c r="H4" s="156"/>
      <c r="L4" s="92">
        <f>B3</f>
        <v>200</v>
      </c>
      <c r="M4" s="92" t="s">
        <v>3</v>
      </c>
    </row>
    <row r="5" spans="1:16" x14ac:dyDescent="0.35">
      <c r="A5" s="173" t="s">
        <v>555</v>
      </c>
      <c r="B5" s="174">
        <v>12</v>
      </c>
      <c r="C5" s="174" t="s">
        <v>8</v>
      </c>
      <c r="E5" s="174" t="s">
        <v>556</v>
      </c>
      <c r="F5" s="174">
        <v>2</v>
      </c>
      <c r="G5" s="174"/>
      <c r="H5" s="156"/>
    </row>
    <row r="6" spans="1:16" x14ac:dyDescent="0.35">
      <c r="A6" s="173"/>
      <c r="B6" s="174"/>
      <c r="C6" s="174"/>
      <c r="E6" s="94" t="s">
        <v>557</v>
      </c>
      <c r="F6" s="94">
        <f>SQRT(6*F4*10^6/(F5*B18*F2*1000))</f>
        <v>5.9511501015322521</v>
      </c>
      <c r="G6" s="94"/>
      <c r="H6" s="156"/>
    </row>
    <row r="7" spans="1:16" x14ac:dyDescent="0.35">
      <c r="A7" s="173" t="s">
        <v>558</v>
      </c>
      <c r="B7" s="174">
        <v>4.5999999999999996</v>
      </c>
      <c r="C7" s="174"/>
      <c r="E7" s="174" t="s">
        <v>559</v>
      </c>
      <c r="F7" s="174">
        <v>6</v>
      </c>
      <c r="G7" s="174"/>
      <c r="H7" s="156"/>
    </row>
    <row r="8" spans="1:16" x14ac:dyDescent="0.35">
      <c r="A8" s="173" t="s">
        <v>560</v>
      </c>
      <c r="B8" s="174">
        <v>400</v>
      </c>
      <c r="C8" s="174" t="s">
        <v>15</v>
      </c>
      <c r="H8" s="156"/>
    </row>
    <row r="9" spans="1:16" x14ac:dyDescent="0.35">
      <c r="A9" s="173" t="s">
        <v>561</v>
      </c>
      <c r="B9" s="174">
        <v>410</v>
      </c>
      <c r="C9" s="174" t="s">
        <v>15</v>
      </c>
      <c r="E9" s="94" t="s">
        <v>600</v>
      </c>
      <c r="F9" s="94">
        <f>B20</f>
        <v>40</v>
      </c>
      <c r="G9" s="94" t="s">
        <v>8</v>
      </c>
      <c r="H9" s="156"/>
      <c r="J9" s="92">
        <f>B4</f>
        <v>250</v>
      </c>
      <c r="K9" s="92" t="s">
        <v>8</v>
      </c>
    </row>
    <row r="10" spans="1:16" x14ac:dyDescent="0.35">
      <c r="A10" s="173" t="s">
        <v>563</v>
      </c>
      <c r="B10" s="174">
        <v>24</v>
      </c>
      <c r="C10" s="174" t="s">
        <v>8</v>
      </c>
      <c r="E10" s="94" t="s">
        <v>601</v>
      </c>
      <c r="F10" s="94">
        <f>B18</f>
        <v>65</v>
      </c>
      <c r="G10" s="94" t="s">
        <v>8</v>
      </c>
      <c r="H10" s="156"/>
    </row>
    <row r="11" spans="1:16" x14ac:dyDescent="0.35">
      <c r="A11" s="173" t="s">
        <v>566</v>
      </c>
      <c r="B11" s="174">
        <v>26</v>
      </c>
      <c r="C11" s="174" t="s">
        <v>8</v>
      </c>
      <c r="E11" s="94" t="s">
        <v>602</v>
      </c>
      <c r="F11" s="94">
        <f>F9+5*F10</f>
        <v>365</v>
      </c>
      <c r="G11" s="94" t="s">
        <v>8</v>
      </c>
      <c r="H11" s="156"/>
    </row>
    <row r="12" spans="1:16" x14ac:dyDescent="0.35">
      <c r="A12" s="157"/>
      <c r="E12" s="94" t="s">
        <v>603</v>
      </c>
      <c r="F12" s="94">
        <f>F11/7</f>
        <v>52.142857142857146</v>
      </c>
      <c r="G12" s="94" t="s">
        <v>8</v>
      </c>
      <c r="H12" s="156"/>
    </row>
    <row r="13" spans="1:16" x14ac:dyDescent="0.35">
      <c r="A13" s="172" t="s">
        <v>569</v>
      </c>
      <c r="B13" s="99" t="s">
        <v>570</v>
      </c>
      <c r="C13" s="94"/>
      <c r="E13" s="94" t="s">
        <v>604</v>
      </c>
      <c r="F13" s="94">
        <f>2*((F10+F9-F12)+(2*F10+F9-F12)+(3*F10+F9-F12)+(4*F10+F9-F12)+(5*F10+F9-F12))</f>
        <v>1828.5714285714284</v>
      </c>
      <c r="G13" s="94" t="s">
        <v>8</v>
      </c>
      <c r="H13" s="156"/>
    </row>
    <row r="14" spans="1:16" x14ac:dyDescent="0.35">
      <c r="A14" s="175" t="s">
        <v>572</v>
      </c>
      <c r="B14" s="94"/>
      <c r="C14" s="94"/>
      <c r="E14" s="94" t="s">
        <v>605</v>
      </c>
      <c r="F14" s="94">
        <f>2*((F10+F9-F12)^2+(2*F10+F9-F12)^2+(3*F10+F9-F12)^2+(4*F10+F9-F12)^2+(5*F10+F9-F12)^2)</f>
        <v>418867.3469387755</v>
      </c>
      <c r="G14" s="94" t="s">
        <v>183</v>
      </c>
      <c r="H14" s="156"/>
    </row>
    <row r="15" spans="1:16" x14ac:dyDescent="0.35">
      <c r="A15" s="173" t="s">
        <v>574</v>
      </c>
      <c r="B15" s="174">
        <v>250</v>
      </c>
      <c r="C15" s="174" t="s">
        <v>8</v>
      </c>
      <c r="E15" s="94" t="s">
        <v>606</v>
      </c>
      <c r="F15" s="94">
        <f>F11-F12</f>
        <v>312.85714285714283</v>
      </c>
      <c r="G15" s="94" t="s">
        <v>8</v>
      </c>
      <c r="H15" s="156"/>
    </row>
    <row r="16" spans="1:16" x14ac:dyDescent="0.35">
      <c r="A16" s="173" t="s">
        <v>575</v>
      </c>
      <c r="B16" s="174">
        <v>10.6</v>
      </c>
      <c r="C16" s="174" t="s">
        <v>8</v>
      </c>
      <c r="E16" s="94" t="s">
        <v>607</v>
      </c>
      <c r="F16" s="94">
        <f>(F4*10^6*F15/F14)/1000</f>
        <v>37.345611342541837</v>
      </c>
      <c r="G16" s="94" t="s">
        <v>3</v>
      </c>
      <c r="H16" s="156"/>
    </row>
    <row r="17" spans="1:10" x14ac:dyDescent="0.35">
      <c r="A17" s="175" t="s">
        <v>577</v>
      </c>
      <c r="B17" s="94">
        <f>2.5*B10</f>
        <v>60</v>
      </c>
      <c r="C17" s="94" t="s">
        <v>8</v>
      </c>
      <c r="E17" s="94" t="s">
        <v>175</v>
      </c>
      <c r="F17" s="176" t="str">
        <f>IF(F16&gt;B31,"Not Okay","OK")</f>
        <v>OK</v>
      </c>
      <c r="H17" s="156"/>
    </row>
    <row r="18" spans="1:10" x14ac:dyDescent="0.35">
      <c r="A18" s="173" t="s">
        <v>580</v>
      </c>
      <c r="B18" s="174">
        <v>65</v>
      </c>
      <c r="C18" s="174" t="s">
        <v>8</v>
      </c>
      <c r="E18" s="94"/>
      <c r="F18" s="94"/>
      <c r="H18" s="156"/>
    </row>
    <row r="19" spans="1:10" x14ac:dyDescent="0.35">
      <c r="A19" s="175" t="s">
        <v>582</v>
      </c>
      <c r="B19" s="94">
        <f>1.5*B11</f>
        <v>39</v>
      </c>
      <c r="C19" s="94" t="s">
        <v>8</v>
      </c>
      <c r="E19" s="94" t="s">
        <v>608</v>
      </c>
      <c r="F19" s="94">
        <f>B3/(F7*2)</f>
        <v>16.666666666666668</v>
      </c>
      <c r="H19" s="156"/>
    </row>
    <row r="20" spans="1:10" x14ac:dyDescent="0.35">
      <c r="A20" s="173" t="s">
        <v>584</v>
      </c>
      <c r="B20" s="174">
        <v>40</v>
      </c>
      <c r="C20" s="174" t="s">
        <v>8</v>
      </c>
      <c r="E20" s="94" t="s">
        <v>175</v>
      </c>
      <c r="F20" s="176" t="str">
        <f>IF(F19&gt;B25,"Not OKay","OK")</f>
        <v>OK</v>
      </c>
      <c r="H20" s="156"/>
    </row>
    <row r="21" spans="1:10" x14ac:dyDescent="0.35">
      <c r="A21" s="157"/>
      <c r="E21" s="94"/>
      <c r="F21" s="94"/>
      <c r="H21" s="156"/>
    </row>
    <row r="22" spans="1:10" x14ac:dyDescent="0.35">
      <c r="A22" s="230" t="s">
        <v>586</v>
      </c>
      <c r="B22" s="203"/>
      <c r="C22" s="203"/>
      <c r="E22" s="94" t="s">
        <v>609</v>
      </c>
      <c r="F22" s="94">
        <f>(F19/B25)^2+(F16/B31)^2</f>
        <v>0.20060780383506424</v>
      </c>
      <c r="H22" s="156"/>
    </row>
    <row r="23" spans="1:10" x14ac:dyDescent="0.35">
      <c r="A23" s="175" t="s">
        <v>588</v>
      </c>
      <c r="B23" s="94" t="s">
        <v>589</v>
      </c>
      <c r="C23" s="94"/>
      <c r="E23" s="94" t="s">
        <v>175</v>
      </c>
      <c r="F23" s="176" t="str">
        <f>IF(F22&gt;1,"Not Okay","OK")</f>
        <v>OK</v>
      </c>
      <c r="H23" s="156"/>
    </row>
    <row r="24" spans="1:10" ht="14.5" thickBot="1" x14ac:dyDescent="0.4">
      <c r="A24" s="175" t="s">
        <v>591</v>
      </c>
      <c r="B24" s="94">
        <f>(B8/SQRT(3)*(1*0.78*3.14*0.25*B10^2))/10^3</f>
        <v>81.449065687635752</v>
      </c>
      <c r="C24" s="94" t="s">
        <v>3</v>
      </c>
      <c r="H24" s="156"/>
      <c r="J24" s="100"/>
    </row>
    <row r="25" spans="1:10" x14ac:dyDescent="0.35">
      <c r="A25" s="175" t="s">
        <v>592</v>
      </c>
      <c r="B25" s="94">
        <f>B24/1.25</f>
        <v>65.159252550108604</v>
      </c>
      <c r="C25" s="94" t="s">
        <v>3</v>
      </c>
      <c r="E25" s="159" t="s">
        <v>99</v>
      </c>
      <c r="F25" s="160"/>
      <c r="G25" s="161"/>
      <c r="H25" s="156"/>
    </row>
    <row r="26" spans="1:10" x14ac:dyDescent="0.35">
      <c r="A26" s="175" t="s">
        <v>593</v>
      </c>
      <c r="B26" s="94"/>
      <c r="C26" s="94"/>
      <c r="E26" s="162" t="s">
        <v>595</v>
      </c>
      <c r="F26" s="163">
        <f>B3</f>
        <v>200</v>
      </c>
      <c r="G26" s="164" t="s">
        <v>3</v>
      </c>
      <c r="H26" s="156"/>
    </row>
    <row r="27" spans="1:10" x14ac:dyDescent="0.35">
      <c r="A27" s="175" t="s">
        <v>594</v>
      </c>
      <c r="B27" s="94">
        <f>MIN(B16,B5)</f>
        <v>10.6</v>
      </c>
      <c r="C27" s="94" t="s">
        <v>8</v>
      </c>
      <c r="E27" s="162" t="s">
        <v>597</v>
      </c>
      <c r="F27" s="163">
        <f>B7</f>
        <v>4.5999999999999996</v>
      </c>
      <c r="G27" s="164"/>
      <c r="H27" s="156"/>
    </row>
    <row r="28" spans="1:10" x14ac:dyDescent="0.35">
      <c r="A28" s="175" t="s">
        <v>596</v>
      </c>
      <c r="B28" s="94">
        <f>MIN(B20/(3*B11),B18/(3*B11)-0.25,B8/B9,1)</f>
        <v>0.51282051282051277</v>
      </c>
      <c r="C28" s="94"/>
      <c r="E28" s="162" t="s">
        <v>569</v>
      </c>
      <c r="F28" s="163" t="str">
        <f>B13</f>
        <v>ISHB 300@619N/M</v>
      </c>
      <c r="G28" s="164"/>
      <c r="H28" s="156"/>
    </row>
    <row r="29" spans="1:10" ht="14.5" thickBot="1" x14ac:dyDescent="0.4">
      <c r="A29" s="175" t="s">
        <v>598</v>
      </c>
      <c r="B29" s="94">
        <f>(2.5*B28*B10*B16*410)/(1.25*1000)</f>
        <v>106.97846153846153</v>
      </c>
      <c r="C29" s="94" t="s">
        <v>3</v>
      </c>
      <c r="E29" s="167" t="s">
        <v>551</v>
      </c>
      <c r="F29" s="168">
        <f>F2</f>
        <v>65.159252550108604</v>
      </c>
      <c r="G29" s="169" t="s">
        <v>3</v>
      </c>
      <c r="H29" s="156"/>
    </row>
    <row r="30" spans="1:10" x14ac:dyDescent="0.35">
      <c r="A30" s="175" t="s">
        <v>610</v>
      </c>
      <c r="B30" s="94"/>
      <c r="C30" s="94"/>
      <c r="H30" s="156"/>
    </row>
    <row r="31" spans="1:10" x14ac:dyDescent="0.35">
      <c r="A31" s="175" t="s">
        <v>611</v>
      </c>
      <c r="B31" s="94">
        <f>(0.9*B8*(0.78*0.25*3.14*B10^2)/1.25)/1000</f>
        <v>101.57322240000002</v>
      </c>
      <c r="C31" s="94" t="s">
        <v>3</v>
      </c>
      <c r="H31" s="156"/>
    </row>
    <row r="32" spans="1:10" ht="14.5" thickBot="1" x14ac:dyDescent="0.4">
      <c r="A32" s="165"/>
      <c r="B32" s="166"/>
      <c r="C32" s="166"/>
      <c r="D32" s="166"/>
      <c r="E32" s="166"/>
      <c r="F32" s="166"/>
      <c r="G32" s="166"/>
      <c r="H32" s="170"/>
    </row>
    <row r="34" spans="3:3" x14ac:dyDescent="0.35">
      <c r="C34" s="92" t="s">
        <v>128</v>
      </c>
    </row>
  </sheetData>
  <mergeCells count="3">
    <mergeCell ref="A1:H1"/>
    <mergeCell ref="A2:C2"/>
    <mergeCell ref="A22:C2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8A304-D02C-4CB5-B2A6-A861ABC2339C}">
  <dimension ref="A1:P33"/>
  <sheetViews>
    <sheetView workbookViewId="0">
      <selection activeCell="B3" sqref="B3"/>
    </sheetView>
  </sheetViews>
  <sheetFormatPr defaultColWidth="9.08984375" defaultRowHeight="14" x14ac:dyDescent="0.3"/>
  <cols>
    <col min="1" max="1" width="43" style="56" bestFit="1" customWidth="1"/>
    <col min="2" max="2" width="20" style="56" bestFit="1" customWidth="1"/>
    <col min="3" max="4" width="9.08984375" style="56"/>
    <col min="5" max="5" width="37" style="56" bestFit="1" customWidth="1"/>
    <col min="6" max="6" width="12.90625" style="56" bestFit="1" customWidth="1"/>
    <col min="7" max="16384" width="9.08984375" style="56"/>
  </cols>
  <sheetData>
    <row r="1" spans="1:16" x14ac:dyDescent="0.3">
      <c r="A1" s="231" t="s">
        <v>612</v>
      </c>
      <c r="B1" s="232"/>
      <c r="C1" s="232"/>
      <c r="D1" s="232"/>
      <c r="E1" s="232"/>
      <c r="F1" s="232"/>
      <c r="G1" s="232"/>
      <c r="H1" s="232"/>
      <c r="I1" s="233"/>
      <c r="K1" s="54"/>
      <c r="L1" s="54"/>
      <c r="M1" s="54"/>
      <c r="N1" s="54"/>
      <c r="O1" s="54"/>
      <c r="P1" s="54"/>
    </row>
    <row r="2" spans="1:16" x14ac:dyDescent="0.3">
      <c r="A2" s="177" t="s">
        <v>613</v>
      </c>
      <c r="B2" s="178"/>
      <c r="C2" s="178"/>
      <c r="E2" s="179" t="s">
        <v>614</v>
      </c>
      <c r="F2" s="178"/>
      <c r="G2" s="178"/>
      <c r="I2" s="180"/>
    </row>
    <row r="3" spans="1:16" x14ac:dyDescent="0.3">
      <c r="A3" s="181" t="s">
        <v>615</v>
      </c>
      <c r="B3" s="178">
        <v>16</v>
      </c>
      <c r="C3" s="178" t="s">
        <v>9</v>
      </c>
      <c r="E3" s="178" t="s">
        <v>616</v>
      </c>
      <c r="F3" s="178">
        <f>0.2/100*(B7*C7)</f>
        <v>451.25</v>
      </c>
      <c r="G3" s="178" t="s">
        <v>617</v>
      </c>
      <c r="I3" s="180"/>
    </row>
    <row r="4" spans="1:16" x14ac:dyDescent="0.3">
      <c r="A4" s="181" t="s">
        <v>618</v>
      </c>
      <c r="B4" s="178">
        <v>0.6</v>
      </c>
      <c r="C4" s="178" t="s">
        <v>9</v>
      </c>
      <c r="E4" s="178"/>
      <c r="F4" s="178"/>
      <c r="G4" s="178"/>
      <c r="I4" s="180"/>
    </row>
    <row r="5" spans="1:16" x14ac:dyDescent="0.3">
      <c r="A5" s="181" t="s">
        <v>619</v>
      </c>
      <c r="B5" s="178">
        <f>B3+B4</f>
        <v>16.600000000000001</v>
      </c>
      <c r="C5" s="178" t="s">
        <v>9</v>
      </c>
      <c r="E5" s="178" t="s">
        <v>620</v>
      </c>
      <c r="F5" s="178">
        <f>2*((B7-50-50)+(C7-50-50))</f>
        <v>1500</v>
      </c>
      <c r="G5" s="178" t="s">
        <v>8</v>
      </c>
      <c r="I5" s="180"/>
    </row>
    <row r="6" spans="1:16" x14ac:dyDescent="0.3">
      <c r="A6" s="181" t="s">
        <v>621</v>
      </c>
      <c r="B6" s="178" t="s">
        <v>520</v>
      </c>
      <c r="C6" s="178" t="s">
        <v>24</v>
      </c>
      <c r="E6" s="178" t="s">
        <v>622</v>
      </c>
      <c r="F6" s="178">
        <f>F5/4</f>
        <v>375</v>
      </c>
      <c r="G6" s="178" t="s">
        <v>8</v>
      </c>
      <c r="H6" s="178" t="s">
        <v>623</v>
      </c>
      <c r="I6" s="180"/>
    </row>
    <row r="7" spans="1:16" x14ac:dyDescent="0.3">
      <c r="A7" s="181"/>
      <c r="B7" s="178">
        <v>475</v>
      </c>
      <c r="C7" s="182">
        <v>475</v>
      </c>
      <c r="D7" s="182" t="s">
        <v>8</v>
      </c>
      <c r="E7" s="178" t="s">
        <v>624</v>
      </c>
      <c r="F7" s="178">
        <f>0.25*3.14*8^2</f>
        <v>50.24</v>
      </c>
      <c r="G7" s="178" t="s">
        <v>183</v>
      </c>
      <c r="I7" s="180"/>
    </row>
    <row r="8" spans="1:16" x14ac:dyDescent="0.3">
      <c r="A8" s="181" t="s">
        <v>625</v>
      </c>
      <c r="B8" s="178">
        <v>950</v>
      </c>
      <c r="C8" s="178" t="s">
        <v>626</v>
      </c>
      <c r="E8" s="178" t="s">
        <v>627</v>
      </c>
      <c r="F8" s="178">
        <f>F7*F5</f>
        <v>75360</v>
      </c>
      <c r="G8" s="178" t="s">
        <v>617</v>
      </c>
      <c r="I8" s="180"/>
    </row>
    <row r="9" spans="1:16" x14ac:dyDescent="0.3">
      <c r="A9" s="181" t="s">
        <v>628</v>
      </c>
      <c r="B9" s="178">
        <v>25</v>
      </c>
      <c r="C9" s="178" t="s">
        <v>15</v>
      </c>
      <c r="E9" s="178" t="s">
        <v>629</v>
      </c>
      <c r="F9" s="178">
        <f>FLOOR(F8/F3,10)</f>
        <v>160</v>
      </c>
      <c r="G9" s="178" t="s">
        <v>8</v>
      </c>
      <c r="I9" s="180"/>
    </row>
    <row r="10" spans="1:16" x14ac:dyDescent="0.3">
      <c r="A10" s="181" t="s">
        <v>630</v>
      </c>
      <c r="B10" s="178">
        <v>16</v>
      </c>
      <c r="C10" s="178" t="s">
        <v>8</v>
      </c>
      <c r="E10" s="178" t="s">
        <v>631</v>
      </c>
      <c r="F10" s="178">
        <f>MIN(F9,0.5*B7)</f>
        <v>160</v>
      </c>
      <c r="G10" s="178" t="s">
        <v>8</v>
      </c>
      <c r="I10" s="180"/>
    </row>
    <row r="11" spans="1:16" x14ac:dyDescent="0.3">
      <c r="A11" s="181" t="s">
        <v>632</v>
      </c>
      <c r="B11" s="178">
        <f>8</f>
        <v>8</v>
      </c>
      <c r="C11" s="178" t="s">
        <v>8</v>
      </c>
      <c r="I11" s="180"/>
    </row>
    <row r="12" spans="1:16" x14ac:dyDescent="0.3">
      <c r="A12" s="181" t="s">
        <v>633</v>
      </c>
      <c r="B12" s="178">
        <v>50</v>
      </c>
      <c r="C12" s="178" t="s">
        <v>8</v>
      </c>
      <c r="E12" s="179" t="s">
        <v>634</v>
      </c>
      <c r="F12" s="178" t="s">
        <v>635</v>
      </c>
      <c r="G12" s="178"/>
      <c r="I12" s="180"/>
    </row>
    <row r="13" spans="1:16" x14ac:dyDescent="0.3">
      <c r="A13" s="181" t="s">
        <v>636</v>
      </c>
      <c r="B13" s="178">
        <v>6</v>
      </c>
      <c r="C13" s="178"/>
      <c r="E13" s="178" t="s">
        <v>637</v>
      </c>
      <c r="F13" s="178">
        <f>3*B7</f>
        <v>1425</v>
      </c>
      <c r="G13" s="178"/>
      <c r="I13" s="180"/>
    </row>
    <row r="14" spans="1:16" x14ac:dyDescent="0.3">
      <c r="A14" s="181" t="s">
        <v>638</v>
      </c>
      <c r="B14" s="178">
        <v>190</v>
      </c>
      <c r="C14" s="178"/>
      <c r="E14" s="178" t="s">
        <v>639</v>
      </c>
      <c r="F14" s="178">
        <f>0.6/100*(B7*C7*1)</f>
        <v>1353.75</v>
      </c>
      <c r="G14" s="178" t="s">
        <v>640</v>
      </c>
      <c r="I14" s="180"/>
    </row>
    <row r="15" spans="1:16" x14ac:dyDescent="0.3">
      <c r="A15" s="181"/>
      <c r="B15" s="178"/>
      <c r="E15" s="178" t="s">
        <v>641</v>
      </c>
      <c r="F15" s="178">
        <v>8</v>
      </c>
      <c r="G15" s="178" t="s">
        <v>8</v>
      </c>
      <c r="I15" s="180"/>
    </row>
    <row r="16" spans="1:16" x14ac:dyDescent="0.3">
      <c r="A16" s="177" t="s">
        <v>642</v>
      </c>
      <c r="B16" s="178"/>
      <c r="E16" s="178" t="s">
        <v>624</v>
      </c>
      <c r="F16" s="178">
        <f>3.14*0.25*F15*F15</f>
        <v>50.24</v>
      </c>
      <c r="G16" s="178" t="s">
        <v>183</v>
      </c>
      <c r="I16" s="180"/>
    </row>
    <row r="17" spans="1:9" x14ac:dyDescent="0.3">
      <c r="A17" s="181" t="s">
        <v>643</v>
      </c>
      <c r="B17" s="178">
        <f>B5/(B7/1000)</f>
        <v>34.947368421052637</v>
      </c>
      <c r="E17" s="178" t="s">
        <v>644</v>
      </c>
      <c r="F17" s="178">
        <f>3.14*(B7-50-50-F15/2)</f>
        <v>1164.94</v>
      </c>
      <c r="G17" s="178" t="s">
        <v>183</v>
      </c>
      <c r="I17" s="180"/>
    </row>
    <row r="18" spans="1:9" x14ac:dyDescent="0.3">
      <c r="A18" s="183" t="str">
        <f>IF(B17&gt;12,"Design for Long Column Pile","the section is short column")</f>
        <v>Design for Long Column Pile</v>
      </c>
      <c r="B18" s="178"/>
      <c r="E18" s="178" t="s">
        <v>645</v>
      </c>
      <c r="F18" s="178">
        <f>F17*F16</f>
        <v>58526.585600000006</v>
      </c>
      <c r="G18" s="178" t="s">
        <v>617</v>
      </c>
      <c r="I18" s="180"/>
    </row>
    <row r="19" spans="1:9" x14ac:dyDescent="0.3">
      <c r="A19" s="181" t="s">
        <v>646</v>
      </c>
      <c r="B19" s="178">
        <v>0.51</v>
      </c>
      <c r="E19" s="178" t="s">
        <v>22</v>
      </c>
      <c r="F19" s="178">
        <f>ROUNDUP(F18/F14,-1.9)</f>
        <v>50</v>
      </c>
      <c r="G19" s="178" t="s">
        <v>8</v>
      </c>
      <c r="I19" s="180"/>
    </row>
    <row r="20" spans="1:9" x14ac:dyDescent="0.3">
      <c r="A20" s="181" t="s">
        <v>647</v>
      </c>
      <c r="B20" s="178">
        <f>B8/B19</f>
        <v>1862.7450980392157</v>
      </c>
      <c r="I20" s="180"/>
    </row>
    <row r="21" spans="1:9" x14ac:dyDescent="0.3">
      <c r="A21" s="184"/>
      <c r="E21" s="179" t="s">
        <v>648</v>
      </c>
      <c r="F21" s="178"/>
      <c r="G21" s="178"/>
      <c r="I21" s="180"/>
    </row>
    <row r="22" spans="1:9" x14ac:dyDescent="0.3">
      <c r="A22" s="177" t="s">
        <v>649</v>
      </c>
      <c r="B22" s="178"/>
      <c r="C22" s="178"/>
      <c r="E22" s="178" t="s">
        <v>650</v>
      </c>
      <c r="F22" s="178">
        <f>0.6/100*(B7*C7*1)</f>
        <v>1353.75</v>
      </c>
      <c r="G22" s="178" t="s">
        <v>640</v>
      </c>
      <c r="I22" s="180"/>
    </row>
    <row r="23" spans="1:9" x14ac:dyDescent="0.3">
      <c r="A23" s="181" t="s">
        <v>651</v>
      </c>
      <c r="B23" s="178">
        <f>B20</f>
        <v>1862.7450980392157</v>
      </c>
      <c r="C23" s="178" t="s">
        <v>626</v>
      </c>
      <c r="E23" s="178" t="s">
        <v>652</v>
      </c>
      <c r="F23" s="178">
        <f>F8</f>
        <v>75360</v>
      </c>
      <c r="G23" s="178" t="s">
        <v>640</v>
      </c>
      <c r="I23" s="180"/>
    </row>
    <row r="24" spans="1:9" x14ac:dyDescent="0.3">
      <c r="A24" s="181" t="s">
        <v>653</v>
      </c>
      <c r="B24" s="178">
        <f>B7*C7</f>
        <v>225625</v>
      </c>
      <c r="C24" s="178" t="s">
        <v>183</v>
      </c>
      <c r="E24" s="178" t="s">
        <v>654</v>
      </c>
      <c r="F24" s="178">
        <f>ROUNDUP(F23/F22,-1)</f>
        <v>60</v>
      </c>
      <c r="G24" s="178" t="s">
        <v>8</v>
      </c>
      <c r="I24" s="180"/>
    </row>
    <row r="25" spans="1:9" x14ac:dyDescent="0.3">
      <c r="A25" s="181" t="s">
        <v>207</v>
      </c>
      <c r="B25" s="178">
        <f>(B23*1000-B13*B24)/(B13+B14)</f>
        <v>2596.9137655062023</v>
      </c>
      <c r="C25" s="178" t="s">
        <v>183</v>
      </c>
      <c r="E25" s="178" t="s">
        <v>631</v>
      </c>
      <c r="F25" s="178">
        <f>F24</f>
        <v>60</v>
      </c>
      <c r="G25" s="178" t="s">
        <v>8</v>
      </c>
      <c r="I25" s="180"/>
    </row>
    <row r="26" spans="1:9" x14ac:dyDescent="0.3">
      <c r="A26" s="181" t="s">
        <v>655</v>
      </c>
      <c r="B26" s="178"/>
      <c r="C26" s="178"/>
      <c r="E26" s="178"/>
      <c r="F26" s="178"/>
      <c r="G26" s="178"/>
      <c r="I26" s="180"/>
    </row>
    <row r="27" spans="1:9" x14ac:dyDescent="0.3">
      <c r="A27" s="183" t="str">
        <f>IF(B5&lt;30*B7/1000,"Choose 0.8%of Gross area","don’t Choose 0.8% of Gross area")</f>
        <v>don’t Choose 0.8% of Gross area</v>
      </c>
      <c r="B27" s="178"/>
      <c r="C27" s="178"/>
      <c r="E27" s="178" t="s">
        <v>656</v>
      </c>
      <c r="F27" s="178"/>
      <c r="G27" s="178"/>
      <c r="I27" s="180"/>
    </row>
    <row r="28" spans="1:9" x14ac:dyDescent="0.3">
      <c r="A28" s="181" t="s">
        <v>657</v>
      </c>
      <c r="B28" s="178">
        <f>0.8/100*(B7*C7)</f>
        <v>1805</v>
      </c>
      <c r="C28" s="178" t="s">
        <v>183</v>
      </c>
      <c r="E28" s="178" t="s">
        <v>658</v>
      </c>
      <c r="F28" s="178"/>
      <c r="G28" s="178"/>
      <c r="I28" s="180"/>
    </row>
    <row r="29" spans="1:9" x14ac:dyDescent="0.3">
      <c r="A29" s="181" t="s">
        <v>207</v>
      </c>
      <c r="B29" s="178">
        <f>MAX(B28,B25)</f>
        <v>2596.9137655062023</v>
      </c>
      <c r="C29" s="178" t="s">
        <v>183</v>
      </c>
      <c r="I29" s="180"/>
    </row>
    <row r="30" spans="1:9" x14ac:dyDescent="0.3">
      <c r="A30" s="181" t="s">
        <v>659</v>
      </c>
      <c r="B30" s="178">
        <f>0.25*3.14*B10^2</f>
        <v>200.96</v>
      </c>
      <c r="C30" s="178" t="s">
        <v>183</v>
      </c>
      <c r="I30" s="180"/>
    </row>
    <row r="31" spans="1:9" x14ac:dyDescent="0.3">
      <c r="A31" s="181" t="s">
        <v>660</v>
      </c>
      <c r="B31" s="178">
        <f>ROUNDUP(B29/B30,0)</f>
        <v>13</v>
      </c>
      <c r="C31" s="178"/>
      <c r="I31" s="180"/>
    </row>
    <row r="32" spans="1:9" x14ac:dyDescent="0.3">
      <c r="A32" s="181" t="s">
        <v>661</v>
      </c>
      <c r="B32" s="178">
        <f>B31*B30</f>
        <v>2612.48</v>
      </c>
      <c r="C32" s="178" t="s">
        <v>183</v>
      </c>
      <c r="I32" s="180"/>
    </row>
    <row r="33" spans="1:9" ht="14.5" thickBot="1" x14ac:dyDescent="0.35">
      <c r="A33" s="185"/>
      <c r="B33" s="186"/>
      <c r="C33" s="186"/>
      <c r="D33" s="186"/>
      <c r="E33" s="186"/>
      <c r="F33" s="186"/>
      <c r="G33" s="186"/>
      <c r="H33" s="186"/>
      <c r="I33" s="187"/>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iso foot</vt:lpstr>
      <vt:lpstr>singli r b</vt:lpstr>
      <vt:lpstr>double rb</vt:lpstr>
      <vt:lpstr>1 way slab</vt:lpstr>
      <vt:lpstr>2wayslab</vt:lpstr>
      <vt:lpstr>stair case </vt:lpstr>
      <vt:lpstr>retaining wall </vt:lpstr>
      <vt:lpstr>combined footing</vt:lpstr>
      <vt:lpstr>bolt typ 1 </vt:lpstr>
      <vt:lpstr>bolt type 2 </vt:lpstr>
      <vt:lpstr>pile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 saleembaba</dc:creator>
  <cp:lastModifiedBy>Jadi Vishal</cp:lastModifiedBy>
  <dcterms:created xsi:type="dcterms:W3CDTF">2025-11-24T19:00:32Z</dcterms:created>
  <dcterms:modified xsi:type="dcterms:W3CDTF">2025-11-25T03:53:01Z</dcterms:modified>
</cp:coreProperties>
</file>